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2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orkplan" sheetId="2" state="visible" r:id="rId2"/>
    <sheet xmlns:r="http://schemas.openxmlformats.org/officeDocument/2006/relationships" name="Example" sheetId="3" state="visible" r:id="rId3"/>
    <sheet xmlns:r="http://schemas.openxmlformats.org/officeDocument/2006/relationships" name="Lists" sheetId="4" state="hidden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;\(#,##0\);\-"/>
    <numFmt numFmtId="165" formatCode="\$#,##0;&quot;($&quot;#,##0\);\-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0468B1"/>
      <sz val="16"/>
    </font>
    <font>
      <name val="Arial"/>
      <charset val="1"/>
      <b val="1"/>
      <color rgb="FF0468B1"/>
      <sz val="12"/>
    </font>
    <font>
      <name val="Arial"/>
      <charset val="1"/>
      <color rgb="FF000000"/>
      <sz val="11"/>
    </font>
    <font>
      <name val="Arial"/>
      <charset val="1"/>
      <sz val="11"/>
    </font>
    <font>
      <name val="Arial"/>
      <charset val="1"/>
      <i val="1"/>
      <color rgb="FF595959"/>
      <sz val="10"/>
    </font>
    <font>
      <name val="Arial"/>
      <charset val="1"/>
      <b val="1"/>
      <sz val="11"/>
    </font>
    <font>
      <name val="Arial"/>
      <charset val="1"/>
      <color rgb="FF0000FF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0468B1"/>
      <sz val="11"/>
    </font>
  </fonts>
  <fills count="6">
    <fill>
      <patternFill/>
    </fill>
    <fill>
      <patternFill patternType="gray125"/>
    </fill>
    <fill>
      <patternFill patternType="solid">
        <fgColor rgb="FFFFF7CC"/>
        <bgColor rgb="FFF2F2F2"/>
      </patternFill>
    </fill>
    <fill>
      <patternFill patternType="solid">
        <fgColor rgb="FF0468B1"/>
        <bgColor rgb="FF008080"/>
      </patternFill>
    </fill>
    <fill>
      <patternFill patternType="solid">
        <fgColor rgb="FFF2F2F2"/>
        <bgColor rgb="FFE8F1FA"/>
      </patternFill>
    </fill>
    <fill>
      <patternFill patternType="solid">
        <fgColor rgb="FFE8F1FA"/>
        <bgColor rgb="FFF2F2F2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0" borderId="1" pivotButton="0" quotePrefix="0" xfId="0"/>
    <xf numFmtId="0" fontId="6" fillId="4" borderId="1" applyAlignment="1" pivotButton="0" quotePrefix="0" xfId="0">
      <alignment vertical="top" wrapText="1"/>
    </xf>
    <xf numFmtId="0" fontId="6" fillId="0" borderId="1" pivotButton="0" quotePrefix="0" xfId="0"/>
    <xf numFmtId="0" fontId="7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pivotButton="0" quotePrefix="0" xfId="0"/>
    <xf numFmtId="0" fontId="8" fillId="3" borderId="0" pivotButton="0" quotePrefix="0" xfId="0"/>
    <xf numFmtId="0" fontId="0" fillId="3" borderId="0" pivotButton="0" quotePrefix="0" xfId="0"/>
    <xf numFmtId="0" fontId="7" fillId="2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165" fontId="6" fillId="4" borderId="1" pivotButton="0" quotePrefix="0" xfId="0"/>
    <xf numFmtId="0" fontId="4" fillId="0" borderId="1" pivotButton="0" quotePrefix="0" xfId="0"/>
    <xf numFmtId="165" fontId="4" fillId="4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E8F1FA"/>
      <rgbColor rgb="FF660066"/>
      <rgbColor rgb="FFFF8080"/>
      <rgbColor rgb="FF0468B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topLeftCell="A13" zoomScaleNormal="100" workbookViewId="0">
      <selection activeCell="B34" sqref="B34"/>
    </sheetView>
  </sheetViews>
  <sheetFormatPr baseColWidth="8" defaultColWidth="8.6328125" defaultRowHeight="14.5"/>
  <cols>
    <col width="4" customWidth="1" min="1" max="1"/>
    <col width="110" customWidth="1" min="2" max="2"/>
  </cols>
  <sheetData>
    <row r="2" ht="20" customHeight="1">
      <c r="B2" s="8" t="inlineStr">
        <is>
          <t>METI Cohort Innovator Workplan</t>
        </is>
      </c>
    </row>
    <row r="4" ht="15.5" customHeight="1">
      <c r="B4" s="9" t="inlineStr">
        <is>
          <t>How to fill this in</t>
        </is>
      </c>
    </row>
    <row r="5">
      <c r="B5" s="10" t="inlineStr">
        <is>
          <t>1. Go to the Workplan tab. Fill in the yellow cells only. Grey cells calculate automatically.</t>
        </is>
      </c>
    </row>
    <row r="6" ht="28" customHeight="1">
      <c r="B6" s="10" t="inlineStr">
        <is>
          <t>2. Write ONE intent statement: From [where you are today, with proof] to [where you want to be, with a number or clear evidence] by [date].</t>
        </is>
      </c>
    </row>
    <row r="7" ht="28" customHeight="1">
      <c r="B7" s="10" t="inlineStr">
        <is>
          <t>3. List every activity needed to make that shift. One activity can take several rows if it has several needs (e.g. software and mentorship).</t>
        </is>
      </c>
    </row>
    <row r="8" ht="28" customHeight="1">
      <c r="B8" s="10" t="inlineStr">
        <is>
          <t>4. For each row, pick a Need category from the dropdown, then describe the Specific need exactly (e.g. 'Fusion 360 licence', not 'software').</t>
        </is>
      </c>
    </row>
    <row r="9">
      <c r="B9" s="10" t="inlineStr">
        <is>
          <t>5. Enter Quantity, Unit (hours, months, kg, sessions, trips...) and Unit cost in USD. The Estimated total calculates itself.</t>
        </is>
      </c>
    </row>
    <row r="10">
      <c r="B10" s="10" t="inlineStr">
        <is>
          <t>6. Say whether the UniPod already has it (Yes / No / Partly) and the target month.</t>
        </is>
      </c>
    </row>
    <row r="11" ht="28" customHeight="1">
      <c r="B11" s="10" t="inlineStr">
        <is>
          <t>7. Check the Summary at the bottom of the Workplan tab. It shows your total cost, what the UniPod covers, and your funding gap.</t>
        </is>
      </c>
    </row>
    <row r="12">
      <c r="B12" s="10" t="n"/>
    </row>
    <row r="13" ht="15.5" customHeight="1">
      <c r="B13" s="9" t="inlineStr">
        <is>
          <t>Tips</t>
        </is>
      </c>
    </row>
    <row r="14">
      <c r="B14" s="10" t="inlineStr">
        <is>
          <t>Be honest about the 'from'. State what exists today, not what you hope exists.</t>
        </is>
      </c>
    </row>
    <row r="15">
      <c r="B15" s="10" t="inlineStr">
        <is>
          <t>Keep it realistic for the cohort period (3 to 6 months).</t>
        </is>
      </c>
    </row>
    <row r="16">
      <c r="B16" s="10" t="inlineStr">
        <is>
          <t>Give rough cost estimates rather than leaving cells blank. If you really do not know, write 'unknown' in the Notes column.</t>
        </is>
      </c>
    </row>
    <row r="17">
      <c r="B17" s="10" t="inlineStr">
        <is>
          <t>See the Example tab for a fully worked example.</t>
        </is>
      </c>
    </row>
    <row r="18">
      <c r="B18" s="10" t="n"/>
    </row>
    <row r="19" ht="15.5" customHeight="1">
      <c r="B19" s="9" t="inlineStr">
        <is>
          <t>Need categories</t>
        </is>
      </c>
    </row>
    <row r="20">
      <c r="B20" s="11" t="inlineStr">
        <is>
          <t>Equipment / Hardware:  Machines, tools, devices</t>
        </is>
      </c>
    </row>
    <row r="21">
      <c r="B21" s="11" t="inlineStr">
        <is>
          <t>Materials / Consumables:  Filament, sensors, components, raw materials</t>
        </is>
      </c>
    </row>
    <row r="22">
      <c r="B22" s="11" t="inlineStr">
        <is>
          <t>Software / Digital tools:  Design, coding, cloud, licences</t>
        </is>
      </c>
    </row>
    <row r="23">
      <c r="B23" s="11" t="inlineStr">
        <is>
          <t>Technical expertise / Mentorship:  An engineer, designer, domain expert</t>
        </is>
      </c>
    </row>
    <row r="24">
      <c r="B24" s="11" t="inlineStr">
        <is>
          <t>Skills / Training:  Courses or workshops for the team</t>
        </is>
      </c>
    </row>
    <row r="25">
      <c r="B25" s="11" t="inlineStr">
        <is>
          <t>Testing / User access:  Test users, field sites, lab testing</t>
        </is>
      </c>
    </row>
    <row r="26">
      <c r="B26" s="11" t="inlineStr">
        <is>
          <t>Regulatory / Certification:  Standards, permits, IP registration</t>
        </is>
      </c>
    </row>
    <row r="27">
      <c r="B27" s="11" t="inlineStr">
        <is>
          <t>Space / Facilities:  Lab time, workshop, storage</t>
        </is>
      </c>
    </row>
    <row r="28">
      <c r="B28" s="11" t="inlineStr">
        <is>
          <t>Market access / Partnerships:  Introductions, buyers, distributors</t>
        </is>
      </c>
    </row>
    <row r="29">
      <c r="B29" s="11" t="inlineStr">
        <is>
          <t>Travel / Logistics:  Field visits, shipping, transport</t>
        </is>
      </c>
    </row>
    <row r="30">
      <c r="B30" s="11" t="inlineStr">
        <is>
          <t>Other:  Anything else (explain in Specific need)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1"/>
  <sheetViews>
    <sheetView topLeftCell="A69" zoomScale="90" zoomScaleNormal="90" workbookViewId="0">
      <selection activeCell="A93" sqref="A93"/>
    </sheetView>
  </sheetViews>
  <sheetFormatPr baseColWidth="8" defaultColWidth="8.6328125" defaultRowHeight="14.5"/>
  <cols>
    <col width="5" customWidth="1" min="1" max="1"/>
    <col width="32" customWidth="1" min="2" max="2"/>
    <col width="28" customWidth="1" min="3" max="3"/>
    <col width="38" customWidth="1" min="4" max="4"/>
    <col width="10" customWidth="1" min="5" max="5"/>
    <col width="18" customWidth="1" min="6" max="6"/>
    <col width="13" customWidth="1" min="7" max="7"/>
    <col width="15" customWidth="1" min="8" max="8"/>
    <col width="14" customWidth="1" min="9" max="9"/>
    <col width="13" customWidth="1" min="10" max="10"/>
    <col width="30" customWidth="1" min="11" max="11"/>
  </cols>
  <sheetData>
    <row r="1" ht="20" customHeight="1">
      <c r="A1" s="8" t="inlineStr">
        <is>
          <t>METI Cohort Innovator Workplan</t>
        </is>
      </c>
    </row>
    <row r="2">
      <c r="A2" s="12" t="inlineStr">
        <is>
          <t>Fill in the yellow cells. Grey cells calculate automatically.</t>
        </is>
      </c>
    </row>
    <row r="4">
      <c r="A4" s="13" t="inlineStr">
        <is>
          <t>Solution/Start Up Name</t>
        </is>
      </c>
      <c r="C4" s="14" t="inlineStr">
        <is>
          <t>Forgeron</t>
        </is>
      </c>
      <c r="D4" s="25" t="n"/>
      <c r="E4" s="25" t="n"/>
      <c r="F4" s="26" t="n"/>
    </row>
    <row r="5">
      <c r="A5" s="13" t="inlineStr">
        <is>
          <t>Country</t>
        </is>
      </c>
      <c r="C5" s="14" t="inlineStr">
        <is>
          <t>Mali</t>
        </is>
      </c>
      <c r="D5" s="25" t="n"/>
      <c r="E5" s="25" t="n"/>
      <c r="F5" s="26" t="n"/>
    </row>
    <row r="6">
      <c r="A6" s="13" t="inlineStr">
        <is>
          <t>Team lead</t>
        </is>
      </c>
      <c r="C6" s="14" t="inlineStr">
        <is>
          <t>Lamine SACKO</t>
        </is>
      </c>
      <c r="D6" s="25" t="n"/>
      <c r="E6" s="25" t="n"/>
      <c r="F6" s="26" t="n"/>
    </row>
    <row r="7">
      <c r="A7" s="13" t="inlineStr">
        <is>
          <t xml:space="preserve">Team Members </t>
        </is>
      </c>
      <c r="B7" s="13" t="n"/>
      <c r="C7" s="14" t="inlineStr">
        <is>
          <t>Aboubacar Diamouténé — electronics and assembly technician. Commercial/business role currently open.</t>
        </is>
      </c>
      <c r="D7" s="14" t="n"/>
      <c r="E7" s="14" t="n"/>
      <c r="F7" s="14" t="n"/>
    </row>
    <row r="8">
      <c r="A8" s="13" t="inlineStr">
        <is>
          <t>Contact email</t>
        </is>
      </c>
      <c r="C8" s="14" t="inlineStr">
        <is>
          <t>sackolamine994@gmail.com</t>
        </is>
      </c>
      <c r="D8" s="25" t="n"/>
      <c r="E8" s="25" t="n"/>
      <c r="F8" s="26" t="n"/>
    </row>
    <row r="10" ht="15.5" customHeight="1">
      <c r="A10" s="15" t="inlineStr">
        <is>
          <t>PART 1: INTENT STATEMENT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</row>
    <row r="11" ht="15" customHeight="1">
      <c r="A11" s="5" t="inlineStr">
        <is>
          <t>FROM (where you are today, with proof)</t>
        </is>
      </c>
      <c r="B11" s="27" t="n"/>
      <c r="C11" s="17" t="inlineStr">
        <is>
          <t>a 5-axis CNC machine that works only in our own workshop, with 0 customer parts produced, 0 documented customer interviews and no validated price</t>
        </is>
      </c>
      <c r="D11" s="28" t="n"/>
      <c r="E11" s="28" t="n"/>
      <c r="F11" s="28" t="n"/>
      <c r="G11" s="28" t="n"/>
      <c r="H11" s="28" t="n"/>
      <c r="I11" s="28" t="n"/>
      <c r="J11" s="28" t="n"/>
      <c r="K11" s="27" t="n"/>
    </row>
    <row r="12">
      <c r="A12" s="29" t="n"/>
      <c r="B12" s="30" t="n"/>
      <c r="C12" s="29" t="n"/>
      <c r="K12" s="30" t="n"/>
    </row>
    <row r="13">
      <c r="A13" s="31" t="n"/>
      <c r="B13" s="32" t="n"/>
      <c r="C13" s="31" t="n"/>
      <c r="D13" s="33" t="n"/>
      <c r="E13" s="33" t="n"/>
      <c r="F13" s="33" t="n"/>
      <c r="G13" s="33" t="n"/>
      <c r="H13" s="33" t="n"/>
      <c r="I13" s="33" t="n"/>
      <c r="J13" s="33" t="n"/>
      <c r="K13" s="32" t="n"/>
    </row>
    <row r="14" ht="15" customHeight="1">
      <c r="A14" s="5" t="inlineStr">
        <is>
          <t>TO (where you want to be, with a number or clear evidence)</t>
        </is>
      </c>
      <c r="B14" s="27" t="n"/>
      <c r="C14" s="17" t="inlineStr">
        <is>
          <t>a paid pilot in 2 Bamako machine shops, each having produced at least 5 real customer parts on the machine, at a price the shops have agreed to pay</t>
        </is>
      </c>
      <c r="D14" s="28" t="n"/>
      <c r="E14" s="28" t="n"/>
      <c r="F14" s="28" t="n"/>
      <c r="G14" s="28" t="n"/>
      <c r="H14" s="28" t="n"/>
      <c r="I14" s="28" t="n"/>
      <c r="J14" s="28" t="n"/>
      <c r="K14" s="27" t="n"/>
    </row>
    <row r="15">
      <c r="A15" s="29" t="n"/>
      <c r="B15" s="30" t="n"/>
      <c r="C15" s="29" t="n"/>
      <c r="K15" s="30" t="n"/>
    </row>
    <row r="16">
      <c r="A16" s="31" t="n"/>
      <c r="B16" s="32" t="n"/>
      <c r="C16" s="31" t="n"/>
      <c r="D16" s="33" t="n"/>
      <c r="E16" s="33" t="n"/>
      <c r="F16" s="33" t="n"/>
      <c r="G16" s="33" t="n"/>
      <c r="H16" s="33" t="n"/>
      <c r="I16" s="33" t="n"/>
      <c r="J16" s="33" t="n"/>
      <c r="K16" s="32" t="n"/>
    </row>
    <row r="17" ht="15" customHeight="1">
      <c r="A17" s="5" t="inlineStr">
        <is>
          <t>BY (date)</t>
        </is>
      </c>
      <c r="B17" s="26" t="n"/>
      <c r="C17" s="17" t="inlineStr">
        <is>
          <t>April 2027</t>
        </is>
      </c>
      <c r="D17" s="25" t="n"/>
      <c r="E17" s="25" t="n"/>
      <c r="F17" s="25" t="n"/>
      <c r="G17" s="25" t="n"/>
      <c r="H17" s="25" t="n"/>
      <c r="I17" s="25" t="n"/>
      <c r="J17" s="25" t="n"/>
      <c r="K17" s="26" t="n"/>
    </row>
    <row r="18" ht="15" customHeight="1">
      <c r="A18" s="5" t="inlineStr">
        <is>
          <t>Success evidence: we will know we made it when...</t>
        </is>
      </c>
      <c r="B18" s="27" t="n"/>
      <c r="C18" s="17" t="inlineStr">
        <is>
          <t>2 signed pilot agreements; at least 10 real customer parts produced (5 or more per shop), each with its drawing, photos and machining log; at least one payment received from a shop; 10 documented customer interviews; and a unit-economics model built on a real, quoted bill of materials rather than estimates.</t>
        </is>
      </c>
      <c r="D18" s="28" t="n"/>
      <c r="E18" s="28" t="n"/>
      <c r="F18" s="28" t="n"/>
      <c r="G18" s="28" t="n"/>
      <c r="H18" s="28" t="n"/>
      <c r="I18" s="28" t="n"/>
      <c r="J18" s="28" t="n"/>
      <c r="K18" s="27" t="n"/>
    </row>
    <row r="19">
      <c r="A19" s="31" t="n"/>
      <c r="B19" s="32" t="n"/>
      <c r="C19" s="31" t="n"/>
      <c r="D19" s="33" t="n"/>
      <c r="E19" s="33" t="n"/>
      <c r="F19" s="33" t="n"/>
      <c r="G19" s="33" t="n"/>
      <c r="H19" s="33" t="n"/>
      <c r="I19" s="33" t="n"/>
      <c r="J19" s="33" t="n"/>
      <c r="K19" s="32" t="n"/>
    </row>
    <row r="20" ht="15" customHeight="1">
      <c r="A20" s="5" t="inlineStr">
        <is>
          <t>Biggest risk: what could stop us?</t>
        </is>
      </c>
      <c r="B20" s="27" t="n"/>
      <c r="C20" s="17" t="inlineStr">
        <is>
          <t>We have only one machine. It travels to Addis Ababa in November and must then serve both pilots one after the other, so a breakdown, a power cut or transport damage stops the whole plan. The second risk is commercial: a shop may accept the machine and still refuse to pay for it.</t>
        </is>
      </c>
      <c r="D20" s="28" t="n"/>
      <c r="E20" s="28" t="n"/>
      <c r="F20" s="28" t="n"/>
      <c r="G20" s="28" t="n"/>
      <c r="H20" s="28" t="n"/>
      <c r="I20" s="28" t="n"/>
      <c r="J20" s="28" t="n"/>
      <c r="K20" s="27" t="n"/>
    </row>
    <row r="21">
      <c r="A21" s="31" t="n"/>
      <c r="B21" s="32" t="n"/>
      <c r="C21" s="31" t="n"/>
      <c r="D21" s="33" t="n"/>
      <c r="E21" s="33" t="n"/>
      <c r="F21" s="33" t="n"/>
      <c r="G21" s="33" t="n"/>
      <c r="H21" s="33" t="n"/>
      <c r="I21" s="33" t="n"/>
      <c r="J21" s="33" t="n"/>
      <c r="K21" s="32" t="n"/>
    </row>
    <row r="22">
      <c r="A22" s="3" t="inlineStr">
        <is>
          <t>Full intent statement</t>
        </is>
      </c>
      <c r="B22" s="27" t="n"/>
      <c r="C22" s="2">
        <f>IF(C11="","","From "&amp;C11&amp;" to "&amp;C14&amp;IF(C17="",""," by "&amp;C17)&amp;".")</f>
        <v/>
      </c>
      <c r="D22" s="28" t="n"/>
      <c r="E22" s="28" t="n"/>
      <c r="F22" s="28" t="n"/>
      <c r="G22" s="28" t="n"/>
      <c r="H22" s="28" t="n"/>
      <c r="I22" s="28" t="n"/>
      <c r="J22" s="28" t="n"/>
      <c r="K22" s="27" t="n"/>
    </row>
    <row r="23">
      <c r="A23" s="31" t="n"/>
      <c r="B23" s="32" t="n"/>
      <c r="C23" s="31" t="n"/>
      <c r="D23" s="33" t="n"/>
      <c r="E23" s="33" t="n"/>
      <c r="F23" s="33" t="n"/>
      <c r="G23" s="33" t="n"/>
      <c r="H23" s="33" t="n"/>
      <c r="I23" s="33" t="n"/>
      <c r="J23" s="33" t="n"/>
      <c r="K23" s="32" t="n"/>
    </row>
    <row r="25" ht="15.5" customHeight="1">
      <c r="A25" s="15" t="inlineStr">
        <is>
          <t>PART 2: ACTIVITIES AND NEEDS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</row>
    <row r="26" ht="31.5" customHeight="1">
      <c r="A26" s="18" t="inlineStr">
        <is>
          <t>#</t>
        </is>
      </c>
      <c r="B26" s="18" t="inlineStr">
        <is>
          <t>Activity</t>
        </is>
      </c>
      <c r="C26" s="18" t="inlineStr">
        <is>
          <t>Need category</t>
        </is>
      </c>
      <c r="D26" s="18" t="inlineStr">
        <is>
          <t>Specific need (what exactly)</t>
        </is>
      </c>
      <c r="E26" s="18" t="inlineStr">
        <is>
          <t>Quantity</t>
        </is>
      </c>
      <c r="F26" s="18" t="inlineStr">
        <is>
          <t>Unit (hours, months, kg...)</t>
        </is>
      </c>
      <c r="G26" s="18" t="inlineStr">
        <is>
          <t>Unit cost (USD)</t>
        </is>
      </c>
      <c r="H26" s="18" t="inlineStr">
        <is>
          <t>Estimated total (USD)</t>
        </is>
      </c>
      <c r="I26" s="18" t="inlineStr">
        <is>
          <t>Available at UniPod?</t>
        </is>
      </c>
      <c r="J26" s="18" t="inlineStr">
        <is>
          <t>Target month</t>
        </is>
      </c>
      <c r="K26" s="18" t="inlineStr">
        <is>
          <t>Notes</t>
        </is>
      </c>
    </row>
    <row r="27">
      <c r="A27" s="17" t="n">
        <v>1</v>
      </c>
      <c r="B27" s="17" t="inlineStr">
        <is>
          <t>Run 10 structured customer interviews and select 2 pilot shops</t>
        </is>
      </c>
      <c r="C27" s="17" t="inlineStr">
        <is>
          <t>Market access / Partnerships</t>
        </is>
      </c>
      <c r="D27" s="17" t="inlineStr">
        <is>
          <t>Introductions to machine shops and industrial SMEs in Bamako</t>
        </is>
      </c>
      <c r="E27" s="19" t="n">
        <v>10</v>
      </c>
      <c r="F27" s="17" t="inlineStr">
        <is>
          <t>introductions</t>
        </is>
      </c>
      <c r="G27" s="19" t="n">
        <v>0</v>
      </c>
      <c r="H27" s="20">
        <f>IF(OR(E27="",G27=""),"",E27*G27)</f>
        <v/>
      </c>
      <c r="I27" s="17" t="inlineStr">
        <is>
          <t>Partly</t>
        </is>
      </c>
      <c r="J27" s="17" t="inlineStr">
        <is>
          <t>Dec 2026</t>
        </is>
      </c>
      <c r="K27" s="17" t="inlineStr">
        <is>
          <t>Via UniPod Mali and ENI-ABT networks</t>
        </is>
      </c>
    </row>
    <row r="28">
      <c r="A28" s="17" t="n">
        <v>1</v>
      </c>
      <c r="B28" s="17" t="inlineStr">
        <is>
          <t>Run 10 structured customer interviews and select 2 pilot shops</t>
        </is>
      </c>
      <c r="C28" s="17" t="inlineStr">
        <is>
          <t>Travel / Logistics</t>
        </is>
      </c>
      <c r="D28" s="17" t="inlineStr">
        <is>
          <t>Transport within Bamako for interviews and shop visits</t>
        </is>
      </c>
      <c r="E28" s="19" t="n">
        <v>15</v>
      </c>
      <c r="F28" s="17" t="inlineStr">
        <is>
          <t>trips</t>
        </is>
      </c>
      <c r="G28" s="19" t="n">
        <v>8</v>
      </c>
      <c r="H28" s="20">
        <f>IF(OR(E28="",G28=""),"",E28*G28)</f>
        <v/>
      </c>
      <c r="I28" s="17" t="inlineStr">
        <is>
          <t>No</t>
        </is>
      </c>
      <c r="J28" s="17" t="inlineStr">
        <is>
          <t>Dec 2026</t>
        </is>
      </c>
      <c r="K28" s="17" t="inlineStr">
        <is>
          <t>Estimate — to be confirmed by the team</t>
        </is>
      </c>
    </row>
    <row r="29">
      <c r="A29" s="17" t="n">
        <v>1</v>
      </c>
      <c r="B29" s="17" t="inlineStr">
        <is>
          <t>Run 10 structured customer interviews and select 2 pilot shops</t>
        </is>
      </c>
      <c r="C29" s="17" t="inlineStr">
        <is>
          <t>Technical expertise / Mentorship</t>
        </is>
      </c>
      <c r="D29" s="17" t="inlineStr">
        <is>
          <t>Mentor on customer discovery and institutional selling</t>
        </is>
      </c>
      <c r="E29" s="19" t="n">
        <v>4</v>
      </c>
      <c r="F29" s="17" t="inlineStr">
        <is>
          <t>sessions</t>
        </is>
      </c>
      <c r="G29" s="19" t="n">
        <v>50</v>
      </c>
      <c r="H29" s="20">
        <f>IF(OR(E29="",G29=""),"",E29*G29)</f>
        <v/>
      </c>
      <c r="I29" s="17" t="inlineStr">
        <is>
          <t>Partly</t>
        </is>
      </c>
      <c r="J29" s="17" t="inlineStr">
        <is>
          <t>Dec 2026</t>
        </is>
      </c>
      <c r="K29" s="17" t="inlineStr">
        <is>
          <t>Estimate — to be confirmed by the team</t>
        </is>
      </c>
    </row>
    <row r="30">
      <c r="A30" s="17" t="n">
        <v>2</v>
      </c>
      <c r="B30" s="17" t="inlineStr">
        <is>
          <t>Make the machine safe to run outside our own workshop</t>
        </is>
      </c>
      <c r="C30" s="17" t="inlineStr">
        <is>
          <t>Materials / Consumables</t>
        </is>
      </c>
      <c r="D30" s="17" t="inlineStr">
        <is>
          <t>Hardware emergency stop: NC mushroom button, contactor, relay, wiring</t>
        </is>
      </c>
      <c r="E30" s="19" t="n">
        <v>1</v>
      </c>
      <c r="F30" s="17" t="inlineStr">
        <is>
          <t>set</t>
        </is>
      </c>
      <c r="G30" s="19" t="n">
        <v>80</v>
      </c>
      <c r="H30" s="20">
        <f>IF(OR(E30="",G30=""),"",E30*G30)</f>
        <v/>
      </c>
      <c r="I30" s="17" t="inlineStr">
        <is>
          <t>No</t>
        </is>
      </c>
      <c r="J30" s="17" t="inlineStr">
        <is>
          <t>Nov 2026</t>
        </is>
      </c>
      <c r="K30" s="17" t="inlineStr">
        <is>
          <t>Prerequisite before the machine leaves the workshop — a crashed ESP32 must not leave the spindle running</t>
        </is>
      </c>
    </row>
    <row r="31">
      <c r="A31" s="17" t="n">
        <v>2</v>
      </c>
      <c r="B31" s="17" t="inlineStr">
        <is>
          <t>Make the machine safe to run outside our own workshop</t>
        </is>
      </c>
      <c r="C31" s="17" t="inlineStr">
        <is>
          <t>Technical expertise / Mentorship</t>
        </is>
      </c>
      <c r="D31" s="17" t="inlineStr">
        <is>
          <t>Machine-safety review by a qualified engineer</t>
        </is>
      </c>
      <c r="E31" s="19" t="n">
        <v>2</v>
      </c>
      <c r="F31" s="17" t="inlineStr">
        <is>
          <t>sessions</t>
        </is>
      </c>
      <c r="G31" s="19" t="n">
        <v>75</v>
      </c>
      <c r="H31" s="20">
        <f>IF(OR(E31="",G31=""),"",E31*G31)</f>
        <v/>
      </c>
      <c r="I31" s="17" t="inlineStr">
        <is>
          <t>Partly</t>
        </is>
      </c>
      <c r="J31" s="17" t="inlineStr">
        <is>
          <t>Nov 2026</t>
        </is>
      </c>
      <c r="K31" s="17" t="inlineStr">
        <is>
          <t>Estimate — to be confirmed by the team</t>
        </is>
      </c>
    </row>
    <row r="32">
      <c r="A32" s="17" t="n">
        <v>2</v>
      </c>
      <c r="B32" s="17" t="inlineStr">
        <is>
          <t>Make the machine safe to run outside our own workshop</t>
        </is>
      </c>
      <c r="C32" s="17" t="inlineStr">
        <is>
          <t>Materials / Consumables</t>
        </is>
      </c>
      <c r="D32" s="17" t="inlineStr">
        <is>
          <t>Spare parts kit: TB6600 drivers, ESP32 boards, belts, limit switches</t>
        </is>
      </c>
      <c r="E32" s="19" t="n">
        <v>1</v>
      </c>
      <c r="F32" s="17" t="inlineStr">
        <is>
          <t>kit</t>
        </is>
      </c>
      <c r="G32" s="19" t="n">
        <v>150</v>
      </c>
      <c r="H32" s="20">
        <f>IF(OR(E32="",G32=""),"",E32*G32)</f>
        <v/>
      </c>
      <c r="I32" s="17" t="inlineStr">
        <is>
          <t>No</t>
        </is>
      </c>
      <c r="J32" s="17" t="inlineStr">
        <is>
          <t>Dec 2026</t>
        </is>
      </c>
      <c r="K32" s="17" t="inlineStr">
        <is>
          <t>Estimate — to be confirmed by the team</t>
        </is>
      </c>
    </row>
    <row r="33">
      <c r="A33" s="17" t="n">
        <v>2</v>
      </c>
      <c r="B33" s="17" t="inlineStr">
        <is>
          <t>Make the machine safe to run outside our own workshop</t>
        </is>
      </c>
      <c r="C33" s="17" t="inlineStr">
        <is>
          <t>Space / Facilities</t>
        </is>
      </c>
      <c r="D33" s="17" t="inlineStr">
        <is>
          <t>Workshop bench and storage at UniPod Mali for preparation work</t>
        </is>
      </c>
      <c r="E33" s="19" t="n">
        <v>5</v>
      </c>
      <c r="F33" s="17" t="inlineStr">
        <is>
          <t>months</t>
        </is>
      </c>
      <c r="G33" s="19" t="n">
        <v>0</v>
      </c>
      <c r="H33" s="20">
        <f>IF(OR(E33="",G33=""),"",E33*G33)</f>
        <v/>
      </c>
      <c r="I33" s="17" t="inlineStr">
        <is>
          <t>Yes</t>
        </is>
      </c>
      <c r="J33" s="17" t="inlineStr">
        <is>
          <t>Nov 2026</t>
        </is>
      </c>
      <c r="K33" s="17" t="inlineStr">
        <is>
          <t>Already available to us</t>
        </is>
      </c>
    </row>
    <row r="34">
      <c r="A34" s="17" t="n">
        <v>3</v>
      </c>
      <c r="B34" s="17" t="inlineStr">
        <is>
          <t>Transport and install the machine in each pilot shop</t>
        </is>
      </c>
      <c r="C34" s="17" t="inlineStr">
        <is>
          <t>Equipment / Hardware</t>
        </is>
      </c>
      <c r="D34" s="17" t="inlineStr">
        <is>
          <t>Custom transport crate with foam padding</t>
        </is>
      </c>
      <c r="E34" s="19" t="n">
        <v>1</v>
      </c>
      <c r="F34" s="17" t="inlineStr">
        <is>
          <t>crate</t>
        </is>
      </c>
      <c r="G34" s="19" t="n">
        <v>150</v>
      </c>
      <c r="H34" s="20">
        <f>IF(OR(E34="",G34=""),"",E34*G34)</f>
        <v/>
      </c>
      <c r="I34" s="17" t="inlineStr">
        <is>
          <t>No</t>
        </is>
      </c>
      <c r="J34" s="17" t="inlineStr">
        <is>
          <t>Dec 2026</t>
        </is>
      </c>
      <c r="K34" s="17" t="inlineStr">
        <is>
          <t>Estimate — to be confirmed by the team</t>
        </is>
      </c>
    </row>
    <row r="35">
      <c r="A35" s="17" t="n">
        <v>3</v>
      </c>
      <c r="B35" s="17" t="inlineStr">
        <is>
          <t>Transport and install the machine in each pilot shop</t>
        </is>
      </c>
      <c r="C35" s="17" t="inlineStr">
        <is>
          <t>Travel / Logistics</t>
        </is>
      </c>
      <c r="D35" s="17" t="inlineStr">
        <is>
          <t>Machine transport, round trip, 2 shops</t>
        </is>
      </c>
      <c r="E35" s="19" t="n">
        <v>4</v>
      </c>
      <c r="F35" s="17" t="inlineStr">
        <is>
          <t>trips</t>
        </is>
      </c>
      <c r="G35" s="19" t="n">
        <v>50</v>
      </c>
      <c r="H35" s="20">
        <f>IF(OR(E35="",G35=""),"",E35*G35)</f>
        <v/>
      </c>
      <c r="I35" s="17" t="inlineStr">
        <is>
          <t>No</t>
        </is>
      </c>
      <c r="J35" s="17" t="inlineStr">
        <is>
          <t>Jan 2027</t>
        </is>
      </c>
      <c r="K35" s="17" t="inlineStr">
        <is>
          <t>Estimate — to be confirmed by the team</t>
        </is>
      </c>
    </row>
    <row r="36">
      <c r="A36" s="17" t="n">
        <v>3</v>
      </c>
      <c r="B36" s="17" t="inlineStr">
        <is>
          <t>Transport and install the machine in each pilot shop</t>
        </is>
      </c>
      <c r="C36" s="17" t="inlineStr">
        <is>
          <t>Space / Facilities</t>
        </is>
      </c>
      <c r="D36" s="17" t="inlineStr">
        <is>
          <t>Floor space and mains power inside the pilot shop</t>
        </is>
      </c>
      <c r="E36" s="19" t="n">
        <v>5</v>
      </c>
      <c r="F36" s="17" t="inlineStr">
        <is>
          <t>months</t>
        </is>
      </c>
      <c r="G36" s="19" t="n">
        <v>0</v>
      </c>
      <c r="H36" s="20">
        <f>IF(OR(E36="",G36=""),"",E36*G36)</f>
        <v/>
      </c>
      <c r="I36" s="17" t="inlineStr">
        <is>
          <t>No</t>
        </is>
      </c>
      <c r="J36" s="17" t="inlineStr">
        <is>
          <t>Jan 2027</t>
        </is>
      </c>
      <c r="K36" s="17" t="inlineStr">
        <is>
          <t>Provided by the pilot shop as part of the agreement</t>
        </is>
      </c>
    </row>
    <row r="37">
      <c r="A37" s="17" t="n">
        <v>4</v>
      </c>
      <c r="B37" s="17" t="inlineStr">
        <is>
          <t>Run the AI agent fully offline inside the pilot shop</t>
        </is>
      </c>
      <c r="C37" s="17" t="inlineStr">
        <is>
          <t>Equipment / Hardware</t>
        </is>
      </c>
      <c r="D37" s="17" t="inlineStr">
        <is>
          <t>Laptop with an 8 GB VRAM GPU to run the local model offline</t>
        </is>
      </c>
      <c r="E37" s="19" t="n">
        <v>1</v>
      </c>
      <c r="F37" s="17" t="inlineStr">
        <is>
          <t>unit</t>
        </is>
      </c>
      <c r="G37" s="19" t="n">
        <v>1200</v>
      </c>
      <c r="H37" s="20">
        <f>IF(OR(E37="",G37=""),"",E37*G37)</f>
        <v/>
      </c>
      <c r="I37" s="17" t="inlineStr">
        <is>
          <t>No</t>
        </is>
      </c>
      <c r="J37" s="17" t="inlineStr">
        <is>
          <t>Dec 2026</t>
        </is>
      </c>
      <c r="K37" s="17" t="inlineStr">
        <is>
          <t>Largest single need. The shops have no reliable internet, so the agent must run locally</t>
        </is>
      </c>
    </row>
    <row r="38">
      <c r="A38" s="17" t="n">
        <v>4</v>
      </c>
      <c r="B38" s="17" t="inlineStr">
        <is>
          <t>Run the AI agent fully offline inside the pilot shop</t>
        </is>
      </c>
      <c r="C38" s="17" t="inlineStr">
        <is>
          <t>Equipment / Hardware</t>
        </is>
      </c>
      <c r="D38" s="17" t="inlineStr">
        <is>
          <t>UPS / backup power for the machine and the PC</t>
        </is>
      </c>
      <c r="E38" s="19" t="n">
        <v>1</v>
      </c>
      <c r="F38" s="17" t="inlineStr">
        <is>
          <t>unit</t>
        </is>
      </c>
      <c r="G38" s="19" t="n">
        <v>250</v>
      </c>
      <c r="H38" s="20">
        <f>IF(OR(E38="",G38=""),"",E38*G38)</f>
        <v/>
      </c>
      <c r="I38" s="17" t="inlineStr">
        <is>
          <t>No</t>
        </is>
      </c>
      <c r="J38" s="17" t="inlineStr">
        <is>
          <t>Dec 2026</t>
        </is>
      </c>
      <c r="K38" s="17" t="inlineStr">
        <is>
          <t>Power cuts are routine in Bamako — estimate — to be confirmed by the team</t>
        </is>
      </c>
    </row>
    <row r="39">
      <c r="A39" s="17" t="n">
        <v>4</v>
      </c>
      <c r="B39" s="17" t="inlineStr">
        <is>
          <t>Run the AI agent fully offline inside the pilot shop</t>
        </is>
      </c>
      <c r="C39" s="17" t="inlineStr">
        <is>
          <t>Software / Digital tools</t>
        </is>
      </c>
      <c r="D39" s="17" t="inlineStr">
        <is>
          <t>Ollama, FreeCAD, Meshroom (open source)</t>
        </is>
      </c>
      <c r="E39" s="19" t="n">
        <v>5</v>
      </c>
      <c r="F39" s="17" t="inlineStr">
        <is>
          <t>months</t>
        </is>
      </c>
      <c r="G39" s="19" t="n">
        <v>0</v>
      </c>
      <c r="H39" s="20">
        <f>IF(OR(E39="",G39=""),"",E39*G39)</f>
        <v/>
      </c>
      <c r="I39" s="17" t="inlineStr">
        <is>
          <t>No</t>
        </is>
      </c>
      <c r="J39" s="17" t="inlineStr">
        <is>
          <t>Dec 2026</t>
        </is>
      </c>
      <c r="K39" s="17" t="inlineStr">
        <is>
          <t>Already in use, no licence cost</t>
        </is>
      </c>
    </row>
    <row r="40">
      <c r="A40" s="17" t="n">
        <v>5</v>
      </c>
      <c r="B40" s="17" t="inlineStr">
        <is>
          <t>Train the shop operator to run the machine in plain language</t>
        </is>
      </c>
      <c r="C40" s="17" t="inlineStr">
        <is>
          <t>Skills / Training</t>
        </is>
      </c>
      <c r="D40" s="17" t="inlineStr">
        <is>
          <t>Operator training sessions delivered in the shop</t>
        </is>
      </c>
      <c r="E40" s="19" t="n">
        <v>4</v>
      </c>
      <c r="F40" s="17" t="inlineStr">
        <is>
          <t>sessions</t>
        </is>
      </c>
      <c r="G40" s="19" t="n">
        <v>0</v>
      </c>
      <c r="H40" s="20">
        <f>IF(OR(E40="",G40=""),"",E40*G40)</f>
        <v/>
      </c>
      <c r="I40" s="17" t="inlineStr">
        <is>
          <t>No</t>
        </is>
      </c>
      <c r="J40" s="17" t="inlineStr">
        <is>
          <t>Jan 2027</t>
        </is>
      </c>
      <c r="K40" s="17" t="inlineStr">
        <is>
          <t>Delivered by our own team</t>
        </is>
      </c>
    </row>
    <row r="41">
      <c r="A41" s="17" t="n">
        <v>5</v>
      </c>
      <c r="B41" s="17" t="inlineStr">
        <is>
          <t>Train the shop operator to run the machine in plain language</t>
        </is>
      </c>
      <c r="C41" s="17" t="inlineStr">
        <is>
          <t>Technical expertise / Mentorship</t>
        </is>
      </c>
      <c r="D41" s="17" t="inlineStr">
        <is>
          <t>Native Bambara speakers to review the closed command lexicon and the safety labels</t>
        </is>
      </c>
      <c r="E41" s="19" t="n">
        <v>3</v>
      </c>
      <c r="F41" s="17" t="inlineStr">
        <is>
          <t>sessions</t>
        </is>
      </c>
      <c r="G41" s="19" t="n">
        <v>30</v>
      </c>
      <c r="H41" s="20">
        <f>IF(OR(E41="",G41=""),"",E41*G41)</f>
        <v/>
      </c>
      <c r="I41" s="17" t="inlineStr">
        <is>
          <t>Partly</t>
        </is>
      </c>
      <c r="J41" s="17" t="inlineStr">
        <is>
          <t>Jan 2027</t>
        </is>
      </c>
      <c r="K41" s="17" t="inlineStr">
        <is>
          <t>Shop operators speak Bambara; emergency-stop and alarm labels must be verified by a native speaker</t>
        </is>
      </c>
    </row>
    <row r="42">
      <c r="A42" s="17" t="n">
        <v>6</v>
      </c>
      <c r="B42" s="17" t="inlineStr">
        <is>
          <t>Produce at least 5 real customer parts in each shop</t>
        </is>
      </c>
      <c r="C42" s="17" t="inlineStr">
        <is>
          <t>Materials / Consumables</t>
        </is>
      </c>
      <c r="D42" s="17" t="inlineStr">
        <is>
          <t>Aluminium and steel stock for customer parts and trials</t>
        </is>
      </c>
      <c r="E42" s="19" t="n">
        <v>60</v>
      </c>
      <c r="F42" s="17" t="inlineStr">
        <is>
          <t>kg</t>
        </is>
      </c>
      <c r="G42" s="19" t="n">
        <v>6</v>
      </c>
      <c r="H42" s="20">
        <f>IF(OR(E42="",G42=""),"",E42*G42)</f>
        <v/>
      </c>
      <c r="I42" s="17" t="inlineStr">
        <is>
          <t>No</t>
        </is>
      </c>
      <c r="J42" s="17" t="inlineStr">
        <is>
          <t>Feb 2027</t>
        </is>
      </c>
      <c r="K42" s="17" t="inlineStr">
        <is>
          <t>Estimate — to be confirmed by the team</t>
        </is>
      </c>
    </row>
    <row r="43">
      <c r="A43" s="17" t="n">
        <v>6</v>
      </c>
      <c r="B43" s="17" t="inlineStr">
        <is>
          <t>Produce at least 5 real customer parts in each shop</t>
        </is>
      </c>
      <c r="C43" s="17" t="inlineStr">
        <is>
          <t>Materials / Consumables</t>
        </is>
      </c>
      <c r="D43" s="17" t="inlineStr">
        <is>
          <t>Carbide cutting tools and replacements</t>
        </is>
      </c>
      <c r="E43" s="19" t="n">
        <v>12</v>
      </c>
      <c r="F43" s="17" t="inlineStr">
        <is>
          <t>tools</t>
        </is>
      </c>
      <c r="G43" s="19" t="n">
        <v>25</v>
      </c>
      <c r="H43" s="20">
        <f>IF(OR(E43="",G43=""),"",E43*G43)</f>
        <v/>
      </c>
      <c r="I43" s="17" t="inlineStr">
        <is>
          <t>No</t>
        </is>
      </c>
      <c r="J43" s="17" t="inlineStr">
        <is>
          <t>Feb 2027</t>
        </is>
      </c>
      <c r="K43" s="17" t="inlineStr">
        <is>
          <t>Estimate — to be confirmed by the team</t>
        </is>
      </c>
    </row>
    <row r="44">
      <c r="A44" s="17" t="n">
        <v>6</v>
      </c>
      <c r="B44" s="17" t="inlineStr">
        <is>
          <t>Produce at least 5 real customer parts in each shop</t>
        </is>
      </c>
      <c r="C44" s="17" t="inlineStr">
        <is>
          <t>Equipment / Hardware</t>
        </is>
      </c>
      <c r="D44" s="17" t="inlineStr">
        <is>
          <t>Metrology set: digital calliper, dial indicator, surface plate</t>
        </is>
      </c>
      <c r="E44" s="19" t="n">
        <v>1</v>
      </c>
      <c r="F44" s="17" t="inlineStr">
        <is>
          <t>set</t>
        </is>
      </c>
      <c r="G44" s="19" t="n">
        <v>250</v>
      </c>
      <c r="H44" s="20">
        <f>IF(OR(E44="",G44=""),"",E44*G44)</f>
        <v/>
      </c>
      <c r="I44" s="17" t="inlineStr">
        <is>
          <t>Partly</t>
        </is>
      </c>
      <c r="J44" s="17" t="inlineStr">
        <is>
          <t>Feb 2027</t>
        </is>
      </c>
      <c r="K44" s="17" t="inlineStr">
        <is>
          <t>Needed to prove the parts are within tolerance</t>
        </is>
      </c>
    </row>
    <row r="45">
      <c r="A45" s="17" t="n">
        <v>6</v>
      </c>
      <c r="B45" s="17" t="inlineStr">
        <is>
          <t>Produce at least 5 real customer parts in each shop</t>
        </is>
      </c>
      <c r="C45" s="17" t="inlineStr">
        <is>
          <t>Testing / User access</t>
        </is>
      </c>
      <c r="D45" s="17" t="inlineStr">
        <is>
          <t>Access to the pilot shops and to their real customer orders</t>
        </is>
      </c>
      <c r="E45" s="19" t="n">
        <v>5</v>
      </c>
      <c r="F45" s="17" t="inlineStr">
        <is>
          <t>months</t>
        </is>
      </c>
      <c r="G45" s="19" t="n">
        <v>0</v>
      </c>
      <c r="H45" s="20">
        <f>IF(OR(E45="",G45=""),"",E45*G45)</f>
        <v/>
      </c>
      <c r="I45" s="17" t="inlineStr">
        <is>
          <t>No</t>
        </is>
      </c>
      <c r="J45" s="17" t="inlineStr">
        <is>
          <t>Jan 2027</t>
        </is>
      </c>
      <c r="K45" s="17" t="inlineStr">
        <is>
          <t>This is the core of the pilot</t>
        </is>
      </c>
    </row>
    <row r="46">
      <c r="A46" s="17" t="n">
        <v>7</v>
      </c>
      <c r="B46" s="17" t="inlineStr">
        <is>
          <t>Validate the price and build the unit-economics model</t>
        </is>
      </c>
      <c r="C46" s="17" t="inlineStr">
        <is>
          <t>Technical expertise / Mentorship</t>
        </is>
      </c>
      <c r="D46" s="17" t="inlineStr">
        <is>
          <t>Mentor on pricing and unit economics for hardware ventures</t>
        </is>
      </c>
      <c r="E46" s="19" t="n">
        <v>4</v>
      </c>
      <c r="F46" s="17" t="inlineStr">
        <is>
          <t>sessions</t>
        </is>
      </c>
      <c r="G46" s="19" t="n">
        <v>50</v>
      </c>
      <c r="H46" s="20">
        <f>IF(OR(E46="",G46=""),"",E46*G46)</f>
        <v/>
      </c>
      <c r="I46" s="17" t="inlineStr">
        <is>
          <t>Partly</t>
        </is>
      </c>
      <c r="J46" s="17" t="inlineStr">
        <is>
          <t>Mar 2027</t>
        </is>
      </c>
      <c r="K46" s="17" t="inlineStr">
        <is>
          <t>Estimate — to be confirmed by the team</t>
        </is>
      </c>
    </row>
    <row r="47">
      <c r="A47" s="17" t="n">
        <v>7</v>
      </c>
      <c r="B47" s="17" t="inlineStr">
        <is>
          <t>Validate the price and build the unit-economics model</t>
        </is>
      </c>
      <c r="C47" s="17" t="inlineStr">
        <is>
          <t>Other</t>
        </is>
      </c>
      <c r="D47" s="17" t="inlineStr">
        <is>
          <t>Costed bill of materials: supplier quotes for mechanical and electronic parts</t>
        </is>
      </c>
      <c r="E47" s="19" t="n">
        <v>1</v>
      </c>
      <c r="F47" s="17" t="inlineStr">
        <is>
          <t>exercise</t>
        </is>
      </c>
      <c r="G47" s="19" t="n">
        <v>0</v>
      </c>
      <c r="H47" s="20">
        <f>IF(OR(E47="",G47=""),"",E47*G47)</f>
        <v/>
      </c>
      <c r="I47" s="17" t="inlineStr">
        <is>
          <t>No</t>
        </is>
      </c>
      <c r="J47" s="17" t="inlineStr">
        <is>
          <t>Mar 2027</t>
        </is>
      </c>
      <c r="K47" s="17" t="inlineStr">
        <is>
          <t>Our own cost of goods is currently unknown — this is the input the model is missing</t>
        </is>
      </c>
    </row>
    <row r="48">
      <c r="A48" s="17" t="n">
        <v>8</v>
      </c>
      <c r="B48" s="17" t="inlineStr">
        <is>
          <t>Protect the work and pass investor due diligence</t>
        </is>
      </c>
      <c r="C48" s="17" t="inlineStr">
        <is>
          <t>Regulatory / Certification</t>
        </is>
      </c>
      <c r="D48" s="17" t="inlineStr">
        <is>
          <t>Trademark registration for Forgeron (OAPI)</t>
        </is>
      </c>
      <c r="E48" s="19" t="n">
        <v>1</v>
      </c>
      <c r="F48" s="17" t="inlineStr">
        <is>
          <t>filing</t>
        </is>
      </c>
      <c r="G48" s="19" t="n">
        <v>350</v>
      </c>
      <c r="H48" s="20">
        <f>IF(OR(E48="",G48=""),"",E48*G48)</f>
        <v/>
      </c>
      <c r="I48" s="17" t="inlineStr">
        <is>
          <t>No</t>
        </is>
      </c>
      <c r="J48" s="17" t="inlineStr">
        <is>
          <t>Mar 2027</t>
        </is>
      </c>
      <c r="K48" s="17" t="inlineStr">
        <is>
          <t>unknown — fee to be confirmed with OAPI</t>
        </is>
      </c>
    </row>
    <row r="49">
      <c r="A49" s="17" t="n">
        <v>8</v>
      </c>
      <c r="B49" s="17" t="inlineStr">
        <is>
          <t>Protect the work and pass investor due diligence</t>
        </is>
      </c>
      <c r="C49" s="17" t="inlineStr">
        <is>
          <t>Regulatory / Certification</t>
        </is>
      </c>
      <c r="D49" s="17" t="inlineStr">
        <is>
          <t>Machine-safety conformity assessment for commercial sale</t>
        </is>
      </c>
      <c r="E49" s="19" t="n">
        <v>1</v>
      </c>
      <c r="F49" s="17" t="inlineStr">
        <is>
          <t>assessment</t>
        </is>
      </c>
      <c r="G49" s="19" t="n">
        <v>500</v>
      </c>
      <c r="H49" s="20">
        <f>IF(OR(E49="",G49=""),"",E49*G49)</f>
        <v/>
      </c>
      <c r="I49" s="17" t="inlineStr">
        <is>
          <t>No</t>
        </is>
      </c>
      <c r="J49" s="17" t="inlineStr">
        <is>
          <t>Apr 2027</t>
        </is>
      </c>
      <c r="K49" s="17" t="inlineStr">
        <is>
          <t>unknown — no quote obtained yet</t>
        </is>
      </c>
    </row>
    <row r="50">
      <c r="A50" s="17" t="n">
        <v>9</v>
      </c>
      <c r="B50" s="17" t="inlineStr">
        <is>
          <t>Document the evidence for the programme and for investors</t>
        </is>
      </c>
      <c r="C50" s="17" t="inlineStr">
        <is>
          <t>Software / Digital tools</t>
        </is>
      </c>
      <c r="D50" s="17" t="inlineStr">
        <is>
          <t>Mobile data for the team during the pilot</t>
        </is>
      </c>
      <c r="E50" s="19" t="n">
        <v>5</v>
      </c>
      <c r="F50" s="17" t="inlineStr">
        <is>
          <t>months</t>
        </is>
      </c>
      <c r="G50" s="19" t="n">
        <v>20</v>
      </c>
      <c r="H50" s="20">
        <f>IF(OR(E50="",G50=""),"",E50*G50)</f>
        <v/>
      </c>
      <c r="I50" s="17" t="inlineStr">
        <is>
          <t>No</t>
        </is>
      </c>
      <c r="J50" s="17" t="inlineStr">
        <is>
          <t>Jan 2027</t>
        </is>
      </c>
      <c r="K50" s="17" t="inlineStr">
        <is>
          <t>Estimate — to be confirmed by the team</t>
        </is>
      </c>
    </row>
    <row r="51">
      <c r="A51" s="17" t="n"/>
      <c r="B51" s="17" t="n"/>
      <c r="C51" s="17" t="n"/>
      <c r="D51" s="17" t="n"/>
      <c r="E51" s="19" t="n"/>
      <c r="F51" s="17" t="n"/>
      <c r="G51" s="19" t="n"/>
      <c r="H51" s="20">
        <f>IF(OR(E51="",G51=""),"",E51*G51)</f>
        <v/>
      </c>
      <c r="I51" s="17" t="n"/>
      <c r="J51" s="17" t="n"/>
      <c r="K51" s="17" t="n"/>
    </row>
    <row r="52">
      <c r="A52" s="17" t="n"/>
      <c r="B52" s="17" t="n"/>
      <c r="C52" s="17" t="n"/>
      <c r="D52" s="17" t="n"/>
      <c r="E52" s="19" t="n"/>
      <c r="F52" s="17" t="n"/>
      <c r="G52" s="19" t="n"/>
      <c r="H52" s="20">
        <f>IF(OR(E52="",G52=""),"",E52*G52)</f>
        <v/>
      </c>
      <c r="I52" s="17" t="n"/>
      <c r="J52" s="17" t="n"/>
      <c r="K52" s="17" t="n"/>
    </row>
    <row r="53">
      <c r="A53" s="17" t="n"/>
      <c r="B53" s="17" t="n"/>
      <c r="C53" s="17" t="n"/>
      <c r="D53" s="17" t="n"/>
      <c r="E53" s="19" t="n"/>
      <c r="F53" s="17" t="n"/>
      <c r="G53" s="19" t="n"/>
      <c r="H53" s="20">
        <f>IF(OR(E53="",G53=""),"",E53*G53)</f>
        <v/>
      </c>
      <c r="I53" s="17" t="n"/>
      <c r="J53" s="17" t="n"/>
      <c r="K53" s="17" t="n"/>
    </row>
    <row r="54">
      <c r="A54" s="17" t="n"/>
      <c r="B54" s="17" t="n"/>
      <c r="C54" s="17" t="n"/>
      <c r="D54" s="17" t="n"/>
      <c r="E54" s="19" t="n"/>
      <c r="F54" s="17" t="n"/>
      <c r="G54" s="19" t="n"/>
      <c r="H54" s="20">
        <f>IF(OR(E54="",G54=""),"",E54*G54)</f>
        <v/>
      </c>
      <c r="I54" s="17" t="n"/>
      <c r="J54" s="17" t="n"/>
      <c r="K54" s="17" t="n"/>
    </row>
    <row r="55">
      <c r="A55" s="17" t="n"/>
      <c r="B55" s="17" t="n"/>
      <c r="C55" s="17" t="n"/>
      <c r="D55" s="17" t="n"/>
      <c r="E55" s="19" t="n"/>
      <c r="F55" s="17" t="n"/>
      <c r="G55" s="19" t="n"/>
      <c r="H55" s="20">
        <f>IF(OR(E55="",G55=""),"",E55*G55)</f>
        <v/>
      </c>
      <c r="I55" s="17" t="n"/>
      <c r="J55" s="17" t="n"/>
      <c r="K55" s="17" t="n"/>
    </row>
    <row r="56">
      <c r="A56" s="17" t="n"/>
      <c r="B56" s="17" t="n"/>
      <c r="C56" s="17" t="n"/>
      <c r="D56" s="17" t="n"/>
      <c r="E56" s="19" t="n"/>
      <c r="F56" s="17" t="n"/>
      <c r="G56" s="19" t="n"/>
      <c r="H56" s="20">
        <f>IF(OR(E56="",G56=""),"",E56*G56)</f>
        <v/>
      </c>
      <c r="I56" s="17" t="n"/>
      <c r="J56" s="17" t="n"/>
      <c r="K56" s="17" t="n"/>
    </row>
    <row r="58" ht="15.5" customHeight="1">
      <c r="A58" s="15" t="inlineStr">
        <is>
          <t>PART 3: SUMMARY</t>
        </is>
      </c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</row>
    <row r="59">
      <c r="A59" s="3" t="inlineStr">
        <is>
          <t>Total estimated cost (USD)</t>
        </is>
      </c>
      <c r="B59" s="25" t="n"/>
      <c r="C59" s="26" t="n"/>
      <c r="D59" s="21">
        <f>SUM($H$27:$H$56)</f>
        <v/>
      </c>
    </row>
    <row r="60">
      <c r="A60" s="22" t="inlineStr">
        <is>
          <t>Cost of items fully available at the UniPod (Yes)</t>
        </is>
      </c>
      <c r="B60" s="25" t="n"/>
      <c r="C60" s="26" t="n"/>
      <c r="D60" s="23">
        <f>SUMIF($I$27:$I$56,"Yes",$H$27:$H$56)</f>
        <v/>
      </c>
    </row>
    <row r="61">
      <c r="A61" s="22" t="inlineStr">
        <is>
          <t>Cost of items partly available at the UniPod (Partly)</t>
        </is>
      </c>
      <c r="B61" s="25" t="n"/>
      <c r="C61" s="26" t="n"/>
      <c r="D61" s="23">
        <f>SUMIF($I$27:$I$56,"Partly",$H$27:$H$56)</f>
        <v/>
      </c>
    </row>
    <row r="62">
      <c r="A62" s="22" t="inlineStr">
        <is>
          <t>Cost of items not available at the UniPod (No)</t>
        </is>
      </c>
      <c r="B62" s="25" t="n"/>
      <c r="C62" s="26" t="n"/>
      <c r="D62" s="23">
        <f>SUMIF($I$27:$I$56,"No",$H$27:$H$56)</f>
        <v/>
      </c>
    </row>
    <row r="63">
      <c r="A63" s="3" t="inlineStr">
        <is>
          <t>Estimated funding gap (No + Partly)</t>
        </is>
      </c>
      <c r="B63" s="25" t="n"/>
      <c r="C63" s="26" t="n"/>
      <c r="D63" s="21">
        <f>D61+D62</f>
        <v/>
      </c>
    </row>
    <row r="65">
      <c r="A65" s="13" t="inlineStr">
        <is>
          <t>Top 3 needs we cannot meet on our own</t>
        </is>
      </c>
    </row>
    <row r="66">
      <c r="A66" s="22" t="inlineStr">
        <is>
          <t>1.</t>
        </is>
      </c>
      <c r="B66" s="14" t="inlineStr">
        <is>
          <t>A laptop with an 8 GB VRAM GPU, so the AI agent runs fully offline inside workshops that have no reliable internet (~USD 1,200).</t>
        </is>
      </c>
      <c r="C66" s="25" t="n"/>
      <c r="D66" s="25" t="n"/>
      <c r="E66" s="25" t="n"/>
      <c r="F66" s="25" t="n"/>
      <c r="G66" s="25" t="n"/>
      <c r="H66" s="25" t="n"/>
      <c r="I66" s="25" t="n"/>
      <c r="J66" s="25" t="n"/>
      <c r="K66" s="26" t="n"/>
    </row>
    <row r="67">
      <c r="A67" s="22" t="inlineStr">
        <is>
          <t>2.</t>
        </is>
      </c>
      <c r="B67" s="14" t="inlineStr">
        <is>
          <t>Introductions to machine shops and industrial SMEs in Bamako, plus mentorship on institutional selling. We have a working machine and no customer pipeline — this is our weakest point.</t>
        </is>
      </c>
      <c r="C67" s="25" t="n"/>
      <c r="D67" s="25" t="n"/>
      <c r="E67" s="25" t="n"/>
      <c r="F67" s="25" t="n"/>
      <c r="G67" s="25" t="n"/>
      <c r="H67" s="25" t="n"/>
      <c r="I67" s="25" t="n"/>
      <c r="J67" s="25" t="n"/>
      <c r="K67" s="26" t="n"/>
    </row>
    <row r="68">
      <c r="A68" s="22" t="inlineStr">
        <is>
          <t>3.</t>
        </is>
      </c>
      <c r="B68" s="14" t="inlineStr">
        <is>
          <t>Material, cutting tools and metrology to produce and verify the pilot parts (~USD 910), and the safety/certification work needed before we can sell (~USD 850).</t>
        </is>
      </c>
      <c r="C68" s="25" t="n"/>
      <c r="D68" s="25" t="n"/>
      <c r="E68" s="25" t="n"/>
      <c r="F68" s="25" t="n"/>
      <c r="G68" s="25" t="n"/>
      <c r="H68" s="25" t="n"/>
      <c r="I68" s="25" t="n"/>
      <c r="J68" s="25" t="n"/>
      <c r="K68" s="26" t="n"/>
    </row>
    <row r="70">
      <c r="A70" s="24" t="inlineStr">
        <is>
          <t>Cost by need category (USD)</t>
        </is>
      </c>
    </row>
    <row r="71">
      <c r="A71" s="22" t="inlineStr">
        <is>
          <t>Equipment / Hardware</t>
        </is>
      </c>
      <c r="B71" s="25" t="n"/>
      <c r="C71" s="26" t="n"/>
      <c r="D71" s="23">
        <f>SUMIF($C$27:$C$56,"Equipment / Hardware",$H$27:$H$56)</f>
        <v/>
      </c>
    </row>
    <row r="72">
      <c r="A72" s="22" t="inlineStr">
        <is>
          <t>Materials / Consumables</t>
        </is>
      </c>
      <c r="B72" s="25" t="n"/>
      <c r="C72" s="26" t="n"/>
      <c r="D72" s="23">
        <f>SUMIF($C$27:$C$56,"Materials / Consumables",$H$27:$H$56)</f>
        <v/>
      </c>
    </row>
    <row r="73">
      <c r="A73" s="22" t="inlineStr">
        <is>
          <t>Software / Digital tools</t>
        </is>
      </c>
      <c r="B73" s="25" t="n"/>
      <c r="C73" s="26" t="n"/>
      <c r="D73" s="23">
        <f>SUMIF($C$27:$C$56,"Software / Digital tools",$H$27:$H$56)</f>
        <v/>
      </c>
    </row>
    <row r="74">
      <c r="A74" s="22" t="inlineStr">
        <is>
          <t>Technical expertise / Mentorship</t>
        </is>
      </c>
      <c r="B74" s="25" t="n"/>
      <c r="C74" s="26" t="n"/>
      <c r="D74" s="23">
        <f>SUMIF($C$27:$C$56,"Technical expertise / Mentorship",$H$27:$H$56)</f>
        <v/>
      </c>
    </row>
    <row r="75">
      <c r="A75" s="22" t="inlineStr">
        <is>
          <t>Skills / Training</t>
        </is>
      </c>
      <c r="B75" s="25" t="n"/>
      <c r="C75" s="26" t="n"/>
      <c r="D75" s="23">
        <f>SUMIF($C$27:$C$56,"Skills / Training",$H$27:$H$56)</f>
        <v/>
      </c>
    </row>
    <row r="76">
      <c r="A76" s="22" t="inlineStr">
        <is>
          <t>Testing / User access</t>
        </is>
      </c>
      <c r="B76" s="25" t="n"/>
      <c r="C76" s="26" t="n"/>
      <c r="D76" s="23">
        <f>SUMIF($C$27:$C$56,"Testing / User access",$H$27:$H$56)</f>
        <v/>
      </c>
    </row>
    <row r="77">
      <c r="A77" s="22" t="inlineStr">
        <is>
          <t>Regulatory / Certification</t>
        </is>
      </c>
      <c r="B77" s="25" t="n"/>
      <c r="C77" s="26" t="n"/>
      <c r="D77" s="23">
        <f>SUMIF($C$27:$C$56,"Regulatory / Certification",$H$27:$H$56)</f>
        <v/>
      </c>
    </row>
    <row r="78">
      <c r="A78" s="22" t="inlineStr">
        <is>
          <t>Space / Facilities</t>
        </is>
      </c>
      <c r="B78" s="25" t="n"/>
      <c r="C78" s="26" t="n"/>
      <c r="D78" s="23">
        <f>SUMIF($C$27:$C$56,"Space / Facilities",$H$27:$H$56)</f>
        <v/>
      </c>
    </row>
    <row r="79">
      <c r="A79" s="22" t="inlineStr">
        <is>
          <t>Market access / Partnerships</t>
        </is>
      </c>
      <c r="B79" s="25" t="n"/>
      <c r="C79" s="26" t="n"/>
      <c r="D79" s="23">
        <f>SUMIF($C$27:$C$56,"Market access / Partnerships",$H$27:$H$56)</f>
        <v/>
      </c>
    </row>
    <row r="80">
      <c r="A80" s="22" t="inlineStr">
        <is>
          <t>Travel / Logistics</t>
        </is>
      </c>
      <c r="B80" s="25" t="n"/>
      <c r="C80" s="26" t="n"/>
      <c r="D80" s="23">
        <f>SUMIF($C$27:$C$56,"Travel / Logistics",$H$27:$H$56)</f>
        <v/>
      </c>
    </row>
    <row r="81">
      <c r="A81" s="22" t="inlineStr">
        <is>
          <t>Other</t>
        </is>
      </c>
      <c r="B81" s="25" t="n"/>
      <c r="C81" s="26" t="n"/>
      <c r="D81" s="23">
        <f>SUMIF($C$27:$C$56,"Other",$H$27:$H$56)</f>
        <v/>
      </c>
    </row>
  </sheetData>
  <mergeCells count="39">
    <mergeCell ref="C14:K16"/>
    <mergeCell ref="A80:C80"/>
    <mergeCell ref="A75:C75"/>
    <mergeCell ref="C8:F8"/>
    <mergeCell ref="A74:C74"/>
    <mergeCell ref="B68:K68"/>
    <mergeCell ref="A18:B19"/>
    <mergeCell ref="A6:B6"/>
    <mergeCell ref="A22:B23"/>
    <mergeCell ref="A76:C76"/>
    <mergeCell ref="A71:C71"/>
    <mergeCell ref="A20:B21"/>
    <mergeCell ref="C18:K19"/>
    <mergeCell ref="A11:B13"/>
    <mergeCell ref="C6:F6"/>
    <mergeCell ref="A62:C62"/>
    <mergeCell ref="C17:K17"/>
    <mergeCell ref="C5:F5"/>
    <mergeCell ref="A81:C81"/>
    <mergeCell ref="C11:K13"/>
    <mergeCell ref="A72:C72"/>
    <mergeCell ref="B66:K66"/>
    <mergeCell ref="C20:K21"/>
    <mergeCell ref="A63:C63"/>
    <mergeCell ref="C4:F4"/>
    <mergeCell ref="A5:B5"/>
    <mergeCell ref="C22:K23"/>
    <mergeCell ref="A77:C77"/>
    <mergeCell ref="A17:B17"/>
    <mergeCell ref="A59:C59"/>
    <mergeCell ref="A8:B8"/>
    <mergeCell ref="A73:C73"/>
    <mergeCell ref="B67:K67"/>
    <mergeCell ref="A4:B4"/>
    <mergeCell ref="A60:C60"/>
    <mergeCell ref="A14:B16"/>
    <mergeCell ref="A79:C79"/>
    <mergeCell ref="A61:C61"/>
    <mergeCell ref="A78:C78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81"/>
  <sheetViews>
    <sheetView tabSelected="1" topLeftCell="A12" zoomScale="90" zoomScaleNormal="90" workbookViewId="0">
      <selection activeCell="A27" sqref="A27"/>
    </sheetView>
  </sheetViews>
  <sheetFormatPr baseColWidth="8" defaultColWidth="8.6328125" defaultRowHeight="14.5"/>
  <cols>
    <col width="5" customWidth="1" min="1" max="1"/>
    <col width="32" customWidth="1" min="2" max="2"/>
    <col width="28" customWidth="1" min="3" max="3"/>
    <col width="38" customWidth="1" min="4" max="4"/>
    <col width="10" customWidth="1" min="5" max="5"/>
    <col width="18" customWidth="1" min="6" max="6"/>
    <col width="13" customWidth="1" min="7" max="7"/>
    <col width="15" customWidth="1" min="8" max="8"/>
    <col width="14" customWidth="1" min="9" max="9"/>
    <col width="13" customWidth="1" min="10" max="10"/>
    <col width="30" customWidth="1" min="11" max="11"/>
  </cols>
  <sheetData>
    <row r="1" ht="20" customHeight="1">
      <c r="A1" s="8" t="inlineStr">
        <is>
          <t>METI Cohort Innovator Workplan</t>
        </is>
      </c>
    </row>
    <row r="2">
      <c r="A2" s="12" t="inlineStr">
        <is>
          <t>Worked example for reference only. Your own workplan goes in the Workplan tab.</t>
        </is>
      </c>
    </row>
    <row r="4">
      <c r="A4" s="13" t="inlineStr">
        <is>
          <t>Innovation / team name</t>
        </is>
      </c>
      <c r="C4" s="14" t="inlineStr">
        <is>
          <t>AgriSense</t>
        </is>
      </c>
      <c r="D4" s="25" t="n"/>
      <c r="E4" s="25" t="n"/>
      <c r="F4" s="26" t="n"/>
    </row>
    <row r="5">
      <c r="A5" s="13" t="inlineStr">
        <is>
          <t>Country</t>
        </is>
      </c>
      <c r="C5" s="14" t="inlineStr">
        <is>
          <t>Rwanda</t>
        </is>
      </c>
      <c r="D5" s="25" t="n"/>
      <c r="E5" s="25" t="n"/>
      <c r="F5" s="26" t="n"/>
    </row>
    <row r="6">
      <c r="A6" s="13" t="inlineStr">
        <is>
          <t>Team lead</t>
        </is>
      </c>
      <c r="C6" s="14" t="inlineStr">
        <is>
          <t>Example Innovator</t>
        </is>
      </c>
      <c r="D6" s="25" t="n"/>
      <c r="E6" s="25" t="n"/>
      <c r="F6" s="26" t="n"/>
    </row>
    <row r="7">
      <c r="A7" s="13" t="inlineStr">
        <is>
          <t>Team members</t>
        </is>
      </c>
      <c r="B7" s="13" t="n"/>
      <c r="C7" s="14" t="inlineStr">
        <is>
          <t xml:space="preserve">Example team members </t>
        </is>
      </c>
      <c r="D7" s="14" t="n"/>
      <c r="E7" s="14" t="n"/>
      <c r="F7" s="14" t="n"/>
    </row>
    <row r="8">
      <c r="A8" s="13" t="inlineStr">
        <is>
          <t>Contact email</t>
        </is>
      </c>
      <c r="C8" s="14" t="inlineStr">
        <is>
          <t>team@example.com</t>
        </is>
      </c>
      <c r="D8" s="25" t="n"/>
      <c r="E8" s="25" t="n"/>
      <c r="F8" s="26" t="n"/>
    </row>
    <row r="10" ht="15.5" customHeight="1">
      <c r="A10" s="15" t="inlineStr">
        <is>
          <t>PART 1: INTENT STATEMENT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</row>
    <row r="11" ht="15" customHeight="1">
      <c r="A11" s="5" t="inlineStr">
        <is>
          <t>FROM (where you are today, with proof)</t>
        </is>
      </c>
      <c r="B11" s="27" t="n"/>
      <c r="C11" s="17" t="inlineStr">
        <is>
          <t>an MVP soil moisture sensor tested by our team on 1 plot</t>
        </is>
      </c>
      <c r="D11" s="28" t="n"/>
      <c r="E11" s="28" t="n"/>
      <c r="F11" s="28" t="n"/>
      <c r="G11" s="28" t="n"/>
      <c r="H11" s="28" t="n"/>
      <c r="I11" s="28" t="n"/>
      <c r="J11" s="28" t="n"/>
      <c r="K11" s="27" t="n"/>
    </row>
    <row r="12">
      <c r="A12" s="29" t="n"/>
      <c r="B12" s="30" t="n"/>
      <c r="C12" s="29" t="n"/>
      <c r="K12" s="30" t="n"/>
    </row>
    <row r="13">
      <c r="A13" s="31" t="n"/>
      <c r="B13" s="32" t="n"/>
      <c r="C13" s="31" t="n"/>
      <c r="D13" s="33" t="n"/>
      <c r="E13" s="33" t="n"/>
      <c r="F13" s="33" t="n"/>
      <c r="G13" s="33" t="n"/>
      <c r="H13" s="33" t="n"/>
      <c r="I13" s="33" t="n"/>
      <c r="J13" s="33" t="n"/>
      <c r="K13" s="32" t="n"/>
    </row>
    <row r="14" ht="15" customHeight="1">
      <c r="A14" s="5" t="inlineStr">
        <is>
          <t>TO (where you want to be, with a number or clear evidence)</t>
        </is>
      </c>
      <c r="B14" s="27" t="n"/>
      <c r="C14" s="17" t="inlineStr">
        <is>
          <t>an MVP tested by 50 smallholder farmers across 3 districts, with usage data and feedback collected</t>
        </is>
      </c>
      <c r="D14" s="28" t="n"/>
      <c r="E14" s="28" t="n"/>
      <c r="F14" s="28" t="n"/>
      <c r="G14" s="28" t="n"/>
      <c r="H14" s="28" t="n"/>
      <c r="I14" s="28" t="n"/>
      <c r="J14" s="28" t="n"/>
      <c r="K14" s="27" t="n"/>
    </row>
    <row r="15">
      <c r="A15" s="29" t="n"/>
      <c r="B15" s="30" t="n"/>
      <c r="C15" s="29" t="n"/>
      <c r="K15" s="30" t="n"/>
    </row>
    <row r="16">
      <c r="A16" s="31" t="n"/>
      <c r="B16" s="32" t="n"/>
      <c r="C16" s="31" t="n"/>
      <c r="D16" s="33" t="n"/>
      <c r="E16" s="33" t="n"/>
      <c r="F16" s="33" t="n"/>
      <c r="G16" s="33" t="n"/>
      <c r="H16" s="33" t="n"/>
      <c r="I16" s="33" t="n"/>
      <c r="J16" s="33" t="n"/>
      <c r="K16" s="32" t="n"/>
    </row>
    <row r="17" ht="15" customHeight="1">
      <c r="A17" s="5" t="inlineStr">
        <is>
          <t>BY (date)</t>
        </is>
      </c>
      <c r="B17" s="26" t="n"/>
      <c r="C17" s="17" t="inlineStr">
        <is>
          <t>April 2027</t>
        </is>
      </c>
      <c r="D17" s="25" t="n"/>
      <c r="E17" s="25" t="n"/>
      <c r="F17" s="25" t="n"/>
      <c r="G17" s="25" t="n"/>
      <c r="H17" s="25" t="n"/>
      <c r="I17" s="25" t="n"/>
      <c r="J17" s="25" t="n"/>
      <c r="K17" s="26" t="n"/>
    </row>
    <row r="18" ht="15" customHeight="1">
      <c r="A18" s="5" t="inlineStr">
        <is>
          <t>Success evidence: we will know we made it when...</t>
        </is>
      </c>
      <c r="B18" s="27" t="n"/>
      <c r="C18" s="17" t="inlineStr">
        <is>
          <t>50 sensors are installed, we have at least 8 weeks of data from each, and at least 40 farmers have given structured feedback</t>
        </is>
      </c>
      <c r="D18" s="28" t="n"/>
      <c r="E18" s="28" t="n"/>
      <c r="F18" s="28" t="n"/>
      <c r="G18" s="28" t="n"/>
      <c r="H18" s="28" t="n"/>
      <c r="I18" s="28" t="n"/>
      <c r="J18" s="28" t="n"/>
      <c r="K18" s="27" t="n"/>
    </row>
    <row r="19">
      <c r="A19" s="31" t="n"/>
      <c r="B19" s="32" t="n"/>
      <c r="C19" s="31" t="n"/>
      <c r="D19" s="33" t="n"/>
      <c r="E19" s="33" t="n"/>
      <c r="F19" s="33" t="n"/>
      <c r="G19" s="33" t="n"/>
      <c r="H19" s="33" t="n"/>
      <c r="I19" s="33" t="n"/>
      <c r="J19" s="33" t="n"/>
      <c r="K19" s="32" t="n"/>
    </row>
    <row r="20" ht="15" customHeight="1">
      <c r="A20" s="5" t="inlineStr">
        <is>
          <t>Biggest risk: what could stop us?</t>
        </is>
      </c>
      <c r="B20" s="27" t="n"/>
      <c r="C20" s="17" t="inlineStr">
        <is>
          <t>Delays importing electronic components, and farmers dropping out before the end of the test</t>
        </is>
      </c>
      <c r="D20" s="28" t="n"/>
      <c r="E20" s="28" t="n"/>
      <c r="F20" s="28" t="n"/>
      <c r="G20" s="28" t="n"/>
      <c r="H20" s="28" t="n"/>
      <c r="I20" s="28" t="n"/>
      <c r="J20" s="28" t="n"/>
      <c r="K20" s="27" t="n"/>
    </row>
    <row r="21">
      <c r="A21" s="31" t="n"/>
      <c r="B21" s="32" t="n"/>
      <c r="C21" s="31" t="n"/>
      <c r="D21" s="33" t="n"/>
      <c r="E21" s="33" t="n"/>
      <c r="F21" s="33" t="n"/>
      <c r="G21" s="33" t="n"/>
      <c r="H21" s="33" t="n"/>
      <c r="I21" s="33" t="n"/>
      <c r="J21" s="33" t="n"/>
      <c r="K21" s="32" t="n"/>
    </row>
    <row r="22">
      <c r="A22" s="3" t="inlineStr">
        <is>
          <t>Full intent statement</t>
        </is>
      </c>
      <c r="B22" s="27" t="n"/>
      <c r="C22" s="2">
        <f>IF(C11="","","From "&amp;C11&amp;" to "&amp;C14&amp;IF(C17="",""," by "&amp;C17)&amp;".")</f>
        <v/>
      </c>
      <c r="D22" s="28" t="n"/>
      <c r="E22" s="28" t="n"/>
      <c r="F22" s="28" t="n"/>
      <c r="G22" s="28" t="n"/>
      <c r="H22" s="28" t="n"/>
      <c r="I22" s="28" t="n"/>
      <c r="J22" s="28" t="n"/>
      <c r="K22" s="27" t="n"/>
    </row>
    <row r="23">
      <c r="A23" s="31" t="n"/>
      <c r="B23" s="32" t="n"/>
      <c r="C23" s="31" t="n"/>
      <c r="D23" s="33" t="n"/>
      <c r="E23" s="33" t="n"/>
      <c r="F23" s="33" t="n"/>
      <c r="G23" s="33" t="n"/>
      <c r="H23" s="33" t="n"/>
      <c r="I23" s="33" t="n"/>
      <c r="J23" s="33" t="n"/>
      <c r="K23" s="32" t="n"/>
    </row>
    <row r="25" ht="15.5" customHeight="1">
      <c r="A25" s="15" t="inlineStr">
        <is>
          <t>PART 2: ACTIVITIES AND NEEDS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</row>
    <row r="26" ht="31.5" customHeight="1">
      <c r="A26" s="18" t="inlineStr">
        <is>
          <t>#</t>
        </is>
      </c>
      <c r="B26" s="18" t="inlineStr">
        <is>
          <t>Activity</t>
        </is>
      </c>
      <c r="C26" s="18" t="inlineStr">
        <is>
          <t>Need category</t>
        </is>
      </c>
      <c r="D26" s="18" t="inlineStr">
        <is>
          <t>Specific need (what exactly)</t>
        </is>
      </c>
      <c r="E26" s="18" t="inlineStr">
        <is>
          <t>Quantity</t>
        </is>
      </c>
      <c r="F26" s="18" t="inlineStr">
        <is>
          <t>Unit (hours, months, kg...)</t>
        </is>
      </c>
      <c r="G26" s="18" t="inlineStr">
        <is>
          <t>Unit cost (USD)</t>
        </is>
      </c>
      <c r="H26" s="18" t="inlineStr">
        <is>
          <t>Estimated total (USD)</t>
        </is>
      </c>
      <c r="I26" s="18" t="inlineStr">
        <is>
          <t>Available at UniPod?</t>
        </is>
      </c>
      <c r="J26" s="18" t="inlineStr">
        <is>
          <t>Target month</t>
        </is>
      </c>
      <c r="K26" s="18" t="inlineStr">
        <is>
          <t>Notes</t>
        </is>
      </c>
    </row>
    <row r="27" ht="28" customHeight="1">
      <c r="A27" s="17" t="n">
        <v>1</v>
      </c>
      <c r="B27" s="17" t="inlineStr">
        <is>
          <t>Refine sensor casing to be waterproof</t>
        </is>
      </c>
      <c r="C27" s="17" t="inlineStr">
        <is>
          <t>Software / Digital tools</t>
        </is>
      </c>
      <c r="D27" s="17" t="inlineStr">
        <is>
          <t>3D CAD software (Fusion 360, education licence)</t>
        </is>
      </c>
      <c r="E27" s="19" t="n">
        <v>3</v>
      </c>
      <c r="F27" s="17" t="inlineStr">
        <is>
          <t>months</t>
        </is>
      </c>
      <c r="G27" s="19" t="n">
        <v>0</v>
      </c>
      <c r="H27" s="20">
        <f>IF(OR(E27="",G27=""),"",E27*G27)</f>
        <v/>
      </c>
      <c r="I27" s="17" t="inlineStr">
        <is>
          <t>Yes</t>
        </is>
      </c>
      <c r="J27" s="17" t="inlineStr">
        <is>
          <t>Nov 2026</t>
        </is>
      </c>
      <c r="K27" s="17" t="inlineStr">
        <is>
          <t>Free education licence</t>
        </is>
      </c>
    </row>
    <row r="28" ht="28" customHeight="1">
      <c r="A28" s="17" t="n">
        <v>1</v>
      </c>
      <c r="B28" s="17" t="inlineStr">
        <is>
          <t>Refine sensor casing to be waterproof</t>
        </is>
      </c>
      <c r="C28" s="17" t="inlineStr">
        <is>
          <t>Equipment / Hardware</t>
        </is>
      </c>
      <c r="D28" s="17" t="inlineStr">
        <is>
          <t>3D printer access</t>
        </is>
      </c>
      <c r="E28" s="19" t="n">
        <v>20</v>
      </c>
      <c r="F28" s="17" t="inlineStr">
        <is>
          <t>hours</t>
        </is>
      </c>
      <c r="G28" s="19" t="n">
        <v>0</v>
      </c>
      <c r="H28" s="20">
        <f>IF(OR(E28="",G28=""),"",E28*G28)</f>
        <v/>
      </c>
      <c r="I28" s="17" t="inlineStr">
        <is>
          <t>Yes</t>
        </is>
      </c>
      <c r="J28" s="17" t="inlineStr">
        <is>
          <t>Nov 2026</t>
        </is>
      </c>
      <c r="K28" s="17" t="inlineStr">
        <is>
          <t>UniPod makerspace</t>
        </is>
      </c>
    </row>
    <row r="29" ht="28" customHeight="1">
      <c r="A29" s="17" t="n">
        <v>1</v>
      </c>
      <c r="B29" s="17" t="inlineStr">
        <is>
          <t>Refine sensor casing to be waterproof</t>
        </is>
      </c>
      <c r="C29" s="17" t="inlineStr">
        <is>
          <t>Technical expertise / Mentorship</t>
        </is>
      </c>
      <c r="D29" s="17" t="inlineStr">
        <is>
          <t>Product design engineer to review casing</t>
        </is>
      </c>
      <c r="E29" s="19" t="n">
        <v>4</v>
      </c>
      <c r="F29" s="17" t="inlineStr">
        <is>
          <t>sessions</t>
        </is>
      </c>
      <c r="G29" s="19" t="n">
        <v>50</v>
      </c>
      <c r="H29" s="20">
        <f>IF(OR(E29="",G29=""),"",E29*G29)</f>
        <v/>
      </c>
      <c r="I29" s="17" t="inlineStr">
        <is>
          <t>Partly</t>
        </is>
      </c>
      <c r="J29" s="17" t="inlineStr">
        <is>
          <t>Nov 2026</t>
        </is>
      </c>
      <c r="K29" s="17" t="inlineStr">
        <is>
          <t>UniPod mentor for 2 sessions</t>
        </is>
      </c>
    </row>
    <row r="30" ht="28" customHeight="1">
      <c r="A30" s="17" t="n">
        <v>2</v>
      </c>
      <c r="B30" s="17" t="inlineStr">
        <is>
          <t>Produce 50 test units</t>
        </is>
      </c>
      <c r="C30" s="17" t="inlineStr">
        <is>
          <t>Materials / Consumables</t>
        </is>
      </c>
      <c r="D30" s="17" t="inlineStr">
        <is>
          <t>Moisture sensors, ESP32 boards, batteries</t>
        </is>
      </c>
      <c r="E30" s="19" t="n">
        <v>50</v>
      </c>
      <c r="F30" s="17" t="inlineStr">
        <is>
          <t>sets</t>
        </is>
      </c>
      <c r="G30" s="19" t="n">
        <v>18</v>
      </c>
      <c r="H30" s="20">
        <f>IF(OR(E30="",G30=""),"",E30*G30)</f>
        <v/>
      </c>
      <c r="I30" s="17" t="inlineStr">
        <is>
          <t>No</t>
        </is>
      </c>
      <c r="J30" s="17" t="inlineStr">
        <is>
          <t>Dec 2026</t>
        </is>
      </c>
      <c r="K30" s="17" t="inlineStr">
        <is>
          <t>Quote from local supplier</t>
        </is>
      </c>
    </row>
    <row r="31">
      <c r="A31" s="17" t="n">
        <v>2</v>
      </c>
      <c r="B31" s="17" t="inlineStr">
        <is>
          <t>Produce 50 test units</t>
        </is>
      </c>
      <c r="C31" s="17" t="inlineStr">
        <is>
          <t>Materials / Consumables</t>
        </is>
      </c>
      <c r="D31" s="17" t="inlineStr">
        <is>
          <t>PLA filament</t>
        </is>
      </c>
      <c r="E31" s="19" t="n">
        <v>5</v>
      </c>
      <c r="F31" s="17" t="inlineStr">
        <is>
          <t>kg</t>
        </is>
      </c>
      <c r="G31" s="19" t="n">
        <v>25</v>
      </c>
      <c r="H31" s="20">
        <f>IF(OR(E31="",G31=""),"",E31*G31)</f>
        <v/>
      </c>
      <c r="I31" s="17" t="inlineStr">
        <is>
          <t>Partly</t>
        </is>
      </c>
      <c r="J31" s="17" t="inlineStr">
        <is>
          <t>Dec 2026</t>
        </is>
      </c>
      <c r="K31" s="17" t="n"/>
    </row>
    <row r="32">
      <c r="A32" s="17" t="n">
        <v>3</v>
      </c>
      <c r="B32" s="17" t="inlineStr">
        <is>
          <t>Recruit 50 farmers</t>
        </is>
      </c>
      <c r="C32" s="17" t="inlineStr">
        <is>
          <t>Market access / Partnerships</t>
        </is>
      </c>
      <c r="D32" s="17" t="inlineStr">
        <is>
          <t>Introduction to 3 farmer cooperatives</t>
        </is>
      </c>
      <c r="E32" s="19" t="n">
        <v>3</v>
      </c>
      <c r="F32" s="17" t="inlineStr">
        <is>
          <t>introductions</t>
        </is>
      </c>
      <c r="G32" s="19" t="n">
        <v>0</v>
      </c>
      <c r="H32" s="20">
        <f>IF(OR(E32="",G32=""),"",E32*G32)</f>
        <v/>
      </c>
      <c r="I32" s="17" t="inlineStr">
        <is>
          <t>Partly</t>
        </is>
      </c>
      <c r="J32" s="17" t="inlineStr">
        <is>
          <t>Dec 2026</t>
        </is>
      </c>
      <c r="K32" s="17" t="inlineStr">
        <is>
          <t>Via university agriculture faculty</t>
        </is>
      </c>
    </row>
    <row r="33">
      <c r="A33" s="17" t="n">
        <v>4</v>
      </c>
      <c r="B33" s="17" t="inlineStr">
        <is>
          <t>Field deployment</t>
        </is>
      </c>
      <c r="C33" s="17" t="inlineStr">
        <is>
          <t>Travel / Logistics</t>
        </is>
      </c>
      <c r="D33" s="17" t="inlineStr">
        <is>
          <t>Transport to 3 districts</t>
        </is>
      </c>
      <c r="E33" s="19" t="n">
        <v>6</v>
      </c>
      <c r="F33" s="17" t="inlineStr">
        <is>
          <t>trips</t>
        </is>
      </c>
      <c r="G33" s="19" t="n">
        <v>40</v>
      </c>
      <c r="H33" s="20">
        <f>IF(OR(E33="",G33=""),"",E33*G33)</f>
        <v/>
      </c>
      <c r="I33" s="17" t="inlineStr">
        <is>
          <t>No</t>
        </is>
      </c>
      <c r="J33" s="17" t="inlineStr">
        <is>
          <t>Jan 2027</t>
        </is>
      </c>
      <c r="K33" s="17" t="n"/>
    </row>
    <row r="34" ht="28" customHeight="1">
      <c r="A34" s="17" t="n">
        <v>5</v>
      </c>
      <c r="B34" s="17" t="inlineStr">
        <is>
          <t>Collect and analyse data</t>
        </is>
      </c>
      <c r="C34" s="17" t="inlineStr">
        <is>
          <t>Software / Digital tools</t>
        </is>
      </c>
      <c r="D34" s="17" t="inlineStr">
        <is>
          <t>Cloud data dashboard (e.g. ThingSpeak)</t>
        </is>
      </c>
      <c r="E34" s="19" t="n">
        <v>4</v>
      </c>
      <c r="F34" s="17" t="inlineStr">
        <is>
          <t>months</t>
        </is>
      </c>
      <c r="G34" s="19" t="n">
        <v>15</v>
      </c>
      <c r="H34" s="20">
        <f>IF(OR(E34="",G34=""),"",E34*G34)</f>
        <v/>
      </c>
      <c r="I34" s="17" t="inlineStr">
        <is>
          <t>No</t>
        </is>
      </c>
      <c r="J34" s="17" t="inlineStr">
        <is>
          <t>Jan to Apr 2027</t>
        </is>
      </c>
      <c r="K34" s="17" t="n"/>
    </row>
    <row r="35">
      <c r="A35" s="17" t="n">
        <v>6</v>
      </c>
      <c r="B35" s="17" t="inlineStr">
        <is>
          <t>User feedback interviews</t>
        </is>
      </c>
      <c r="C35" s="17" t="inlineStr">
        <is>
          <t>Skills / Training</t>
        </is>
      </c>
      <c r="D35" s="17" t="inlineStr">
        <is>
          <t>User research training for team</t>
        </is>
      </c>
      <c r="E35" s="19" t="n">
        <v>1</v>
      </c>
      <c r="F35" s="17" t="inlineStr">
        <is>
          <t>workshop</t>
        </is>
      </c>
      <c r="G35" s="19" t="n">
        <v>0</v>
      </c>
      <c r="H35" s="20">
        <f>IF(OR(E35="",G35=""),"",E35*G35)</f>
        <v/>
      </c>
      <c r="I35" s="17" t="inlineStr">
        <is>
          <t>Yes</t>
        </is>
      </c>
      <c r="J35" s="17" t="inlineStr">
        <is>
          <t>Jan 2027</t>
        </is>
      </c>
      <c r="K35" s="17" t="inlineStr">
        <is>
          <t>UniPod training calendar</t>
        </is>
      </c>
    </row>
    <row r="36">
      <c r="A36" s="17" t="n"/>
      <c r="B36" s="17" t="n"/>
      <c r="C36" s="17" t="n"/>
      <c r="D36" s="17" t="n"/>
      <c r="E36" s="19" t="n"/>
      <c r="F36" s="17" t="n"/>
      <c r="G36" s="19" t="n"/>
      <c r="H36" s="20">
        <f>IF(OR(E36="",G36=""),"",E36*G36)</f>
        <v/>
      </c>
      <c r="I36" s="17" t="n"/>
      <c r="J36" s="17" t="n"/>
      <c r="K36" s="17" t="n"/>
    </row>
    <row r="37">
      <c r="A37" s="17" t="n"/>
      <c r="B37" s="17" t="n"/>
      <c r="C37" s="17" t="n"/>
      <c r="D37" s="17" t="n"/>
      <c r="E37" s="19" t="n"/>
      <c r="F37" s="17" t="n"/>
      <c r="G37" s="19" t="n"/>
      <c r="H37" s="20">
        <f>IF(OR(E37="",G37=""),"",E37*G37)</f>
        <v/>
      </c>
      <c r="I37" s="17" t="n"/>
      <c r="J37" s="17" t="n"/>
      <c r="K37" s="17" t="n"/>
    </row>
    <row r="38">
      <c r="A38" s="17" t="n"/>
      <c r="B38" s="17" t="n"/>
      <c r="C38" s="17" t="n"/>
      <c r="D38" s="17" t="n"/>
      <c r="E38" s="19" t="n"/>
      <c r="F38" s="17" t="n"/>
      <c r="G38" s="19" t="n"/>
      <c r="H38" s="20">
        <f>IF(OR(E38="",G38=""),"",E38*G38)</f>
        <v/>
      </c>
      <c r="I38" s="17" t="n"/>
      <c r="J38" s="17" t="n"/>
      <c r="K38" s="17" t="n"/>
    </row>
    <row r="39">
      <c r="A39" s="17" t="n"/>
      <c r="B39" s="17" t="n"/>
      <c r="C39" s="17" t="n"/>
      <c r="D39" s="17" t="n"/>
      <c r="E39" s="19" t="n"/>
      <c r="F39" s="17" t="n"/>
      <c r="G39" s="19" t="n"/>
      <c r="H39" s="20">
        <f>IF(OR(E39="",G39=""),"",E39*G39)</f>
        <v/>
      </c>
      <c r="I39" s="17" t="n"/>
      <c r="J39" s="17" t="n"/>
      <c r="K39" s="17" t="n"/>
    </row>
    <row r="40">
      <c r="A40" s="17" t="n"/>
      <c r="B40" s="17" t="n"/>
      <c r="C40" s="17" t="n"/>
      <c r="D40" s="17" t="n"/>
      <c r="E40" s="19" t="n"/>
      <c r="F40" s="17" t="n"/>
      <c r="G40" s="19" t="n"/>
      <c r="H40" s="20">
        <f>IF(OR(E40="",G40=""),"",E40*G40)</f>
        <v/>
      </c>
      <c r="I40" s="17" t="n"/>
      <c r="J40" s="17" t="n"/>
      <c r="K40" s="17" t="n"/>
    </row>
    <row r="41">
      <c r="A41" s="17" t="n"/>
      <c r="B41" s="17" t="n"/>
      <c r="C41" s="17" t="n"/>
      <c r="D41" s="17" t="n"/>
      <c r="E41" s="19" t="n"/>
      <c r="F41" s="17" t="n"/>
      <c r="G41" s="19" t="n"/>
      <c r="H41" s="20">
        <f>IF(OR(E41="",G41=""),"",E41*G41)</f>
        <v/>
      </c>
      <c r="I41" s="17" t="n"/>
      <c r="J41" s="17" t="n"/>
      <c r="K41" s="17" t="n"/>
    </row>
    <row r="42">
      <c r="A42" s="17" t="n"/>
      <c r="B42" s="17" t="n"/>
      <c r="C42" s="17" t="n"/>
      <c r="D42" s="17" t="n"/>
      <c r="E42" s="19" t="n"/>
      <c r="F42" s="17" t="n"/>
      <c r="G42" s="19" t="n"/>
      <c r="H42" s="20">
        <f>IF(OR(E42="",G42=""),"",E42*G42)</f>
        <v/>
      </c>
      <c r="I42" s="17" t="n"/>
      <c r="J42" s="17" t="n"/>
      <c r="K42" s="17" t="n"/>
    </row>
    <row r="43">
      <c r="A43" s="17" t="n"/>
      <c r="B43" s="17" t="n"/>
      <c r="C43" s="17" t="n"/>
      <c r="D43" s="17" t="n"/>
      <c r="E43" s="19" t="n"/>
      <c r="F43" s="17" t="n"/>
      <c r="G43" s="19" t="n"/>
      <c r="H43" s="20">
        <f>IF(OR(E43="",G43=""),"",E43*G43)</f>
        <v/>
      </c>
      <c r="I43" s="17" t="n"/>
      <c r="J43" s="17" t="n"/>
      <c r="K43" s="17" t="n"/>
    </row>
    <row r="44">
      <c r="A44" s="17" t="n"/>
      <c r="B44" s="17" t="n"/>
      <c r="C44" s="17" t="n"/>
      <c r="D44" s="17" t="n"/>
      <c r="E44" s="19" t="n"/>
      <c r="F44" s="17" t="n"/>
      <c r="G44" s="19" t="n"/>
      <c r="H44" s="20">
        <f>IF(OR(E44="",G44=""),"",E44*G44)</f>
        <v/>
      </c>
      <c r="I44" s="17" t="n"/>
      <c r="J44" s="17" t="n"/>
      <c r="K44" s="17" t="n"/>
    </row>
    <row r="45">
      <c r="A45" s="17" t="n"/>
      <c r="B45" s="17" t="n"/>
      <c r="C45" s="17" t="n"/>
      <c r="D45" s="17" t="n"/>
      <c r="E45" s="19" t="n"/>
      <c r="F45" s="17" t="n"/>
      <c r="G45" s="19" t="n"/>
      <c r="H45" s="20">
        <f>IF(OR(E45="",G45=""),"",E45*G45)</f>
        <v/>
      </c>
      <c r="I45" s="17" t="n"/>
      <c r="J45" s="17" t="n"/>
      <c r="K45" s="17" t="n"/>
    </row>
    <row r="46">
      <c r="A46" s="17" t="n"/>
      <c r="B46" s="17" t="n"/>
      <c r="C46" s="17" t="n"/>
      <c r="D46" s="17" t="n"/>
      <c r="E46" s="19" t="n"/>
      <c r="F46" s="17" t="n"/>
      <c r="G46" s="19" t="n"/>
      <c r="H46" s="20">
        <f>IF(OR(E46="",G46=""),"",E46*G46)</f>
        <v/>
      </c>
      <c r="I46" s="17" t="n"/>
      <c r="J46" s="17" t="n"/>
      <c r="K46" s="17" t="n"/>
    </row>
    <row r="47">
      <c r="A47" s="17" t="n"/>
      <c r="B47" s="17" t="n"/>
      <c r="C47" s="17" t="n"/>
      <c r="D47" s="17" t="n"/>
      <c r="E47" s="19" t="n"/>
      <c r="F47" s="17" t="n"/>
      <c r="G47" s="19" t="n"/>
      <c r="H47" s="20">
        <f>IF(OR(E47="",G47=""),"",E47*G47)</f>
        <v/>
      </c>
      <c r="I47" s="17" t="n"/>
      <c r="J47" s="17" t="n"/>
      <c r="K47" s="17" t="n"/>
    </row>
    <row r="48">
      <c r="A48" s="17" t="n"/>
      <c r="B48" s="17" t="n"/>
      <c r="C48" s="17" t="n"/>
      <c r="D48" s="17" t="n"/>
      <c r="E48" s="19" t="n"/>
      <c r="F48" s="17" t="n"/>
      <c r="G48" s="19" t="n"/>
      <c r="H48" s="20">
        <f>IF(OR(E48="",G48=""),"",E48*G48)</f>
        <v/>
      </c>
      <c r="I48" s="17" t="n"/>
      <c r="J48" s="17" t="n"/>
      <c r="K48" s="17" t="n"/>
    </row>
    <row r="49">
      <c r="A49" s="17" t="n"/>
      <c r="B49" s="17" t="n"/>
      <c r="C49" s="17" t="n"/>
      <c r="D49" s="17" t="n"/>
      <c r="E49" s="19" t="n"/>
      <c r="F49" s="17" t="n"/>
      <c r="G49" s="19" t="n"/>
      <c r="H49" s="20">
        <f>IF(OR(E49="",G49=""),"",E49*G49)</f>
        <v/>
      </c>
      <c r="I49" s="17" t="n"/>
      <c r="J49" s="17" t="n"/>
      <c r="K49" s="17" t="n"/>
    </row>
    <row r="50">
      <c r="A50" s="17" t="n"/>
      <c r="B50" s="17" t="n"/>
      <c r="C50" s="17" t="n"/>
      <c r="D50" s="17" t="n"/>
      <c r="E50" s="19" t="n"/>
      <c r="F50" s="17" t="n"/>
      <c r="G50" s="19" t="n"/>
      <c r="H50" s="20">
        <f>IF(OR(E50="",G50=""),"",E50*G50)</f>
        <v/>
      </c>
      <c r="I50" s="17" t="n"/>
      <c r="J50" s="17" t="n"/>
      <c r="K50" s="17" t="n"/>
    </row>
    <row r="51">
      <c r="A51" s="17" t="n"/>
      <c r="B51" s="17" t="n"/>
      <c r="C51" s="17" t="n"/>
      <c r="D51" s="17" t="n"/>
      <c r="E51" s="19" t="n"/>
      <c r="F51" s="17" t="n"/>
      <c r="G51" s="19" t="n"/>
      <c r="H51" s="20">
        <f>IF(OR(E51="",G51=""),"",E51*G51)</f>
        <v/>
      </c>
      <c r="I51" s="17" t="n"/>
      <c r="J51" s="17" t="n"/>
      <c r="K51" s="17" t="n"/>
    </row>
    <row r="52">
      <c r="A52" s="17" t="n"/>
      <c r="B52" s="17" t="n"/>
      <c r="C52" s="17" t="n"/>
      <c r="D52" s="17" t="n"/>
      <c r="E52" s="19" t="n"/>
      <c r="F52" s="17" t="n"/>
      <c r="G52" s="19" t="n"/>
      <c r="H52" s="20">
        <f>IF(OR(E52="",G52=""),"",E52*G52)</f>
        <v/>
      </c>
      <c r="I52" s="17" t="n"/>
      <c r="J52" s="17" t="n"/>
      <c r="K52" s="17" t="n"/>
    </row>
    <row r="53">
      <c r="A53" s="17" t="n"/>
      <c r="B53" s="17" t="n"/>
      <c r="C53" s="17" t="n"/>
      <c r="D53" s="17" t="n"/>
      <c r="E53" s="19" t="n"/>
      <c r="F53" s="17" t="n"/>
      <c r="G53" s="19" t="n"/>
      <c r="H53" s="20">
        <f>IF(OR(E53="",G53=""),"",E53*G53)</f>
        <v/>
      </c>
      <c r="I53" s="17" t="n"/>
      <c r="J53" s="17" t="n"/>
      <c r="K53" s="17" t="n"/>
    </row>
    <row r="54">
      <c r="A54" s="17" t="n"/>
      <c r="B54" s="17" t="n"/>
      <c r="C54" s="17" t="n"/>
      <c r="D54" s="17" t="n"/>
      <c r="E54" s="19" t="n"/>
      <c r="F54" s="17" t="n"/>
      <c r="G54" s="19" t="n"/>
      <c r="H54" s="20">
        <f>IF(OR(E54="",G54=""),"",E54*G54)</f>
        <v/>
      </c>
      <c r="I54" s="17" t="n"/>
      <c r="J54" s="17" t="n"/>
      <c r="K54" s="17" t="n"/>
    </row>
    <row r="55">
      <c r="A55" s="17" t="n"/>
      <c r="B55" s="17" t="n"/>
      <c r="C55" s="17" t="n"/>
      <c r="D55" s="17" t="n"/>
      <c r="E55" s="19" t="n"/>
      <c r="F55" s="17" t="n"/>
      <c r="G55" s="19" t="n"/>
      <c r="H55" s="20">
        <f>IF(OR(E55="",G55=""),"",E55*G55)</f>
        <v/>
      </c>
      <c r="I55" s="17" t="n"/>
      <c r="J55" s="17" t="n"/>
      <c r="K55" s="17" t="n"/>
    </row>
    <row r="56">
      <c r="A56" s="17" t="n"/>
      <c r="B56" s="17" t="n"/>
      <c r="C56" s="17" t="n"/>
      <c r="D56" s="17" t="n"/>
      <c r="E56" s="19" t="n"/>
      <c r="F56" s="17" t="n"/>
      <c r="G56" s="19" t="n"/>
      <c r="H56" s="20">
        <f>IF(OR(E56="",G56=""),"",E56*G56)</f>
        <v/>
      </c>
      <c r="I56" s="17" t="n"/>
      <c r="J56" s="17" t="n"/>
      <c r="K56" s="17" t="n"/>
    </row>
    <row r="58" ht="15.5" customHeight="1">
      <c r="A58" s="15" t="inlineStr">
        <is>
          <t>PART 3: SUMMARY</t>
        </is>
      </c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</row>
    <row r="59">
      <c r="A59" s="3" t="inlineStr">
        <is>
          <t>Total estimated cost (USD)</t>
        </is>
      </c>
      <c r="B59" s="25" t="n"/>
      <c r="C59" s="26" t="n"/>
      <c r="D59" s="21">
        <f>SUM($H$27:$H$56)</f>
        <v/>
      </c>
    </row>
    <row r="60">
      <c r="A60" s="22" t="inlineStr">
        <is>
          <t>Cost of items fully available at the UniPod (Yes)</t>
        </is>
      </c>
      <c r="B60" s="25" t="n"/>
      <c r="C60" s="26" t="n"/>
      <c r="D60" s="23">
        <f>SUMIF($I$27:$I$56,"Yes",$H$27:$H$56)</f>
        <v/>
      </c>
    </row>
    <row r="61">
      <c r="A61" s="22" t="inlineStr">
        <is>
          <t>Cost of items partly available at the UniPod (Partly)</t>
        </is>
      </c>
      <c r="B61" s="25" t="n"/>
      <c r="C61" s="26" t="n"/>
      <c r="D61" s="23">
        <f>SUMIF($I$27:$I$56,"Partly",$H$27:$H$56)</f>
        <v/>
      </c>
    </row>
    <row r="62">
      <c r="A62" s="22" t="inlineStr">
        <is>
          <t>Cost of items not available at the UniPod (No)</t>
        </is>
      </c>
      <c r="B62" s="25" t="n"/>
      <c r="C62" s="26" t="n"/>
      <c r="D62" s="23">
        <f>SUMIF($I$27:$I$56,"No",$H$27:$H$56)</f>
        <v/>
      </c>
    </row>
    <row r="63">
      <c r="A63" s="3" t="inlineStr">
        <is>
          <t>Estimated funding gap (No + Partly)</t>
        </is>
      </c>
      <c r="B63" s="25" t="n"/>
      <c r="C63" s="26" t="n"/>
      <c r="D63" s="21">
        <f>D61+D62</f>
        <v/>
      </c>
    </row>
    <row r="65">
      <c r="A65" s="13" t="inlineStr">
        <is>
          <t>Top 3 needs we cannot meet on our own</t>
        </is>
      </c>
    </row>
    <row r="66">
      <c r="A66" s="22" t="inlineStr">
        <is>
          <t>1.</t>
        </is>
      </c>
      <c r="B66" s="14" t="inlineStr">
        <is>
          <t>Electronics components for 50 test units (about $900)</t>
        </is>
      </c>
      <c r="C66" s="25" t="n"/>
      <c r="D66" s="25" t="n"/>
      <c r="E66" s="25" t="n"/>
      <c r="F66" s="25" t="n"/>
      <c r="G66" s="25" t="n"/>
      <c r="H66" s="25" t="n"/>
      <c r="I66" s="25" t="n"/>
      <c r="J66" s="25" t="n"/>
      <c r="K66" s="26" t="n"/>
    </row>
    <row r="67">
      <c r="A67" s="22" t="inlineStr">
        <is>
          <t>2.</t>
        </is>
      </c>
      <c r="B67" s="14" t="inlineStr">
        <is>
          <t>Transport for field deployment in 3 districts</t>
        </is>
      </c>
      <c r="C67" s="25" t="n"/>
      <c r="D67" s="25" t="n"/>
      <c r="E67" s="25" t="n"/>
      <c r="F67" s="25" t="n"/>
      <c r="G67" s="25" t="n"/>
      <c r="H67" s="25" t="n"/>
      <c r="I67" s="25" t="n"/>
      <c r="J67" s="25" t="n"/>
      <c r="K67" s="26" t="n"/>
    </row>
    <row r="68">
      <c r="A68" s="22" t="inlineStr">
        <is>
          <t>3.</t>
        </is>
      </c>
      <c r="B68" s="14" t="inlineStr">
        <is>
          <t>Product design mentorship for the waterproof casing</t>
        </is>
      </c>
      <c r="C68" s="25" t="n"/>
      <c r="D68" s="25" t="n"/>
      <c r="E68" s="25" t="n"/>
      <c r="F68" s="25" t="n"/>
      <c r="G68" s="25" t="n"/>
      <c r="H68" s="25" t="n"/>
      <c r="I68" s="25" t="n"/>
      <c r="J68" s="25" t="n"/>
      <c r="K68" s="26" t="n"/>
    </row>
    <row r="70">
      <c r="A70" s="24" t="inlineStr">
        <is>
          <t>Cost by need category (USD)</t>
        </is>
      </c>
    </row>
    <row r="71">
      <c r="A71" s="22" t="inlineStr">
        <is>
          <t>Equipment / Hardware</t>
        </is>
      </c>
      <c r="B71" s="25" t="n"/>
      <c r="C71" s="26" t="n"/>
      <c r="D71" s="23">
        <f>SUMIF($C$27:$C$56,"Equipment / Hardware",$H$27:$H$56)</f>
        <v/>
      </c>
    </row>
    <row r="72">
      <c r="A72" s="22" t="inlineStr">
        <is>
          <t>Materials / Consumables</t>
        </is>
      </c>
      <c r="B72" s="25" t="n"/>
      <c r="C72" s="26" t="n"/>
      <c r="D72" s="23">
        <f>SUMIF($C$27:$C$56,"Materials / Consumables",$H$27:$H$56)</f>
        <v/>
      </c>
    </row>
    <row r="73">
      <c r="A73" s="22" t="inlineStr">
        <is>
          <t>Software / Digital tools</t>
        </is>
      </c>
      <c r="B73" s="25" t="n"/>
      <c r="C73" s="26" t="n"/>
      <c r="D73" s="23">
        <f>SUMIF($C$27:$C$56,"Software / Digital tools",$H$27:$H$56)</f>
        <v/>
      </c>
    </row>
    <row r="74">
      <c r="A74" s="22" t="inlineStr">
        <is>
          <t>Technical expertise / Mentorship</t>
        </is>
      </c>
      <c r="B74" s="25" t="n"/>
      <c r="C74" s="26" t="n"/>
      <c r="D74" s="23">
        <f>SUMIF($C$27:$C$56,"Technical expertise / Mentorship",$H$27:$H$56)</f>
        <v/>
      </c>
    </row>
    <row r="75">
      <c r="A75" s="22" t="inlineStr">
        <is>
          <t>Skills / Training</t>
        </is>
      </c>
      <c r="B75" s="25" t="n"/>
      <c r="C75" s="26" t="n"/>
      <c r="D75" s="23">
        <f>SUMIF($C$27:$C$56,"Skills / Training",$H$27:$H$56)</f>
        <v/>
      </c>
    </row>
    <row r="76">
      <c r="A76" s="22" t="inlineStr">
        <is>
          <t>Testing / User access</t>
        </is>
      </c>
      <c r="B76" s="25" t="n"/>
      <c r="C76" s="26" t="n"/>
      <c r="D76" s="23">
        <f>SUMIF($C$27:$C$56,"Testing / User access",$H$27:$H$56)</f>
        <v/>
      </c>
    </row>
    <row r="77">
      <c r="A77" s="22" t="inlineStr">
        <is>
          <t>Regulatory / Certification</t>
        </is>
      </c>
      <c r="B77" s="25" t="n"/>
      <c r="C77" s="26" t="n"/>
      <c r="D77" s="23">
        <f>SUMIF($C$27:$C$56,"Regulatory / Certification",$H$27:$H$56)</f>
        <v/>
      </c>
    </row>
    <row r="78">
      <c r="A78" s="22" t="inlineStr">
        <is>
          <t>Space / Facilities</t>
        </is>
      </c>
      <c r="B78" s="25" t="n"/>
      <c r="C78" s="26" t="n"/>
      <c r="D78" s="23">
        <f>SUMIF($C$27:$C$56,"Space / Facilities",$H$27:$H$56)</f>
        <v/>
      </c>
    </row>
    <row r="79">
      <c r="A79" s="22" t="inlineStr">
        <is>
          <t>Market access / Partnerships</t>
        </is>
      </c>
      <c r="B79" s="25" t="n"/>
      <c r="C79" s="26" t="n"/>
      <c r="D79" s="23">
        <f>SUMIF($C$27:$C$56,"Market access / Partnerships",$H$27:$H$56)</f>
        <v/>
      </c>
    </row>
    <row r="80">
      <c r="A80" s="22" t="inlineStr">
        <is>
          <t>Travel / Logistics</t>
        </is>
      </c>
      <c r="B80" s="25" t="n"/>
      <c r="C80" s="26" t="n"/>
      <c r="D80" s="23">
        <f>SUMIF($C$27:$C$56,"Travel / Logistics",$H$27:$H$56)</f>
        <v/>
      </c>
    </row>
    <row r="81">
      <c r="A81" s="22" t="inlineStr">
        <is>
          <t>Other</t>
        </is>
      </c>
      <c r="B81" s="25" t="n"/>
      <c r="C81" s="26" t="n"/>
      <c r="D81" s="23">
        <f>SUMIF($C$27:$C$56,"Other",$H$27:$H$56)</f>
        <v/>
      </c>
    </row>
  </sheetData>
  <mergeCells count="39">
    <mergeCell ref="C14:K16"/>
    <mergeCell ref="A80:C80"/>
    <mergeCell ref="A75:C75"/>
    <mergeCell ref="C8:F8"/>
    <mergeCell ref="A74:C74"/>
    <mergeCell ref="B68:K68"/>
    <mergeCell ref="A18:B19"/>
    <mergeCell ref="A6:B6"/>
    <mergeCell ref="A22:B23"/>
    <mergeCell ref="A76:C76"/>
    <mergeCell ref="A71:C71"/>
    <mergeCell ref="A20:B21"/>
    <mergeCell ref="C18:K19"/>
    <mergeCell ref="A11:B13"/>
    <mergeCell ref="C6:F6"/>
    <mergeCell ref="A62:C62"/>
    <mergeCell ref="C17:K17"/>
    <mergeCell ref="C5:F5"/>
    <mergeCell ref="A81:C81"/>
    <mergeCell ref="C11:K13"/>
    <mergeCell ref="A72:C72"/>
    <mergeCell ref="B66:K66"/>
    <mergeCell ref="C20:K21"/>
    <mergeCell ref="A63:C63"/>
    <mergeCell ref="C4:F4"/>
    <mergeCell ref="A5:B5"/>
    <mergeCell ref="C22:K23"/>
    <mergeCell ref="A77:C77"/>
    <mergeCell ref="A17:B17"/>
    <mergeCell ref="A59:C59"/>
    <mergeCell ref="A8:B8"/>
    <mergeCell ref="A73:C73"/>
    <mergeCell ref="B67:K67"/>
    <mergeCell ref="A4:B4"/>
    <mergeCell ref="A60:C60"/>
    <mergeCell ref="A14:B16"/>
    <mergeCell ref="A79:C79"/>
    <mergeCell ref="A61:C61"/>
    <mergeCell ref="A78:C78"/>
  </mergeCells>
  <pageMargins left="0.75" right="0.75" top="1" bottom="1" header="0.511811023622047" footer="0.511811023622047"/>
  <pageSetup orientation="landscape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Normal="100" workbookViewId="0">
      <selection activeCell="A1" sqref="A1"/>
    </sheetView>
  </sheetViews>
  <sheetFormatPr baseColWidth="8" defaultColWidth="8.6328125" defaultRowHeight="14.5"/>
  <cols>
    <col width="34" customWidth="1" min="1" max="1"/>
    <col width="20" customWidth="1" min="2" max="2"/>
  </cols>
  <sheetData>
    <row r="1">
      <c r="A1" s="13" t="inlineStr">
        <is>
          <t>Need category</t>
        </is>
      </c>
      <c r="B1" s="13" t="inlineStr">
        <is>
          <t>Available at UniPod</t>
        </is>
      </c>
    </row>
    <row r="2">
      <c r="A2" t="inlineStr">
        <is>
          <t>Equipment / Hardware</t>
        </is>
      </c>
      <c r="B2" t="inlineStr">
        <is>
          <t>Yes</t>
        </is>
      </c>
    </row>
    <row r="3">
      <c r="A3" t="inlineStr">
        <is>
          <t>Materials / Consumables</t>
        </is>
      </c>
      <c r="B3" t="inlineStr">
        <is>
          <t>No</t>
        </is>
      </c>
    </row>
    <row r="4">
      <c r="A4" t="inlineStr">
        <is>
          <t>Software / Digital tools</t>
        </is>
      </c>
      <c r="B4" t="inlineStr">
        <is>
          <t>Partly</t>
        </is>
      </c>
    </row>
    <row r="5">
      <c r="A5" t="inlineStr">
        <is>
          <t>Technical expertise / Mentorship</t>
        </is>
      </c>
    </row>
    <row r="6">
      <c r="A6" t="inlineStr">
        <is>
          <t>Skills / Training</t>
        </is>
      </c>
    </row>
    <row r="7">
      <c r="A7" t="inlineStr">
        <is>
          <t>Testing / User access</t>
        </is>
      </c>
    </row>
    <row r="8">
      <c r="A8" t="inlineStr">
        <is>
          <t>Regulatory / Certification</t>
        </is>
      </c>
    </row>
    <row r="9">
      <c r="A9" t="inlineStr">
        <is>
          <t>Space / Facilities</t>
        </is>
      </c>
    </row>
    <row r="10">
      <c r="A10" t="inlineStr">
        <is>
          <t>Market access / Partnerships</t>
        </is>
      </c>
    </row>
    <row r="11">
      <c r="A11" t="inlineStr">
        <is>
          <t>Travel / Logistics</t>
        </is>
      </c>
    </row>
    <row r="12">
      <c r="A12" t="inlineStr">
        <is>
          <t>Other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2026-10-25T13:23:18Z</dcterms:created>
  <dcterms:modified xmlns:dcterms="http://purl.org/dc/terms/" xmlns:xsi="http://www.w3.org/2001/XMLSchema-instance" xsi:type="dcterms:W3CDTF">2026-10-25T16:25:16Z</dcterms:modified>
  <cp:lastModifiedBy>Gift Ntuli</cp:lastModifiedBy>
  <cp:revision>0</cp:revision>
</cp:coreProperties>
</file>